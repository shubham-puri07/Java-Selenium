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Automation\Excel Files for selenium\"/>
    </mc:Choice>
  </mc:AlternateContent>
  <xr:revisionPtr revIDLastSave="0" documentId="13_ncr:1_{4F12E0E6-78BA-4F5E-B8DD-9B6BF38E5907}" xr6:coauthVersionLast="47" xr6:coauthVersionMax="47" xr10:uidLastSave="{00000000-0000-0000-0000-000000000000}"/>
  <bookViews>
    <workbookView xWindow="-108" yWindow="-108" windowWidth="22320" windowHeight="13176" tabRatio="912" activeTab="4" xr2:uid="{00000000-000D-0000-FFFF-FFFF00000000}"/>
  </bookViews>
  <sheets>
    <sheet name="Tactic Codes" sheetId="1" r:id="rId1"/>
    <sheet name="RSAs-Google" sheetId="2" r:id="rId2"/>
    <sheet name="RSAs - Bing" sheetId="7" r:id="rId3"/>
    <sheet name="ATP - RSAs" sheetId="13" r:id="rId4"/>
    <sheet name="Keywords - Google" sheetId="3" r:id="rId5"/>
    <sheet name="Keywords - Bing" sheetId="8" r:id="rId6"/>
    <sheet name="ATP - Keywords" sheetId="14" r:id="rId7"/>
    <sheet name="Sitelinks - Google" sheetId="4" r:id="rId8"/>
    <sheet name="Sitelinks - Bing" sheetId="9" r:id="rId9"/>
    <sheet name="Callouts - Google" sheetId="5" r:id="rId10"/>
    <sheet name="Callouts - Bing" sheetId="11" r:id="rId11"/>
    <sheet name="Snippets - Google" sheetId="6" r:id="rId12"/>
    <sheet name="Structured Snippets - Bing" sheetId="10" r:id="rId13"/>
    <sheet name="Action Extensions - Bing" sheetId="12" r:id="rId14"/>
    <sheet name="ATP - Ad Extensions" sheetId="16" r:id="rId15"/>
    <sheet name="URLs" sheetId="17" r:id="rId16"/>
    <sheet name="Landing Pages" sheetId="18" r:id="rId17"/>
  </sheets>
  <definedNames>
    <definedName name="_xlnm._FilterDatabase" localSheetId="5" hidden="1">'Keywords - Bing'!$A$1:$AG$1</definedName>
    <definedName name="_xlnm._FilterDatabase" localSheetId="4" hidden="1">'Keywords - Google'!$A$1:$AG$1</definedName>
    <definedName name="_xlnm._FilterDatabase" localSheetId="2" hidden="1">'RSAs - Bing'!$A$1:$DE$23</definedName>
    <definedName name="_xlnm._FilterDatabase" localSheetId="1" hidden="1">'RSAs-Google'!$A$1:$DE$23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8" roundtripDataChecksum="7i9tKQKUJhFJvSClseiP/u8eVWE8kNTIvovUCOO0450="/>
    </ext>
  </extLst>
</workbook>
</file>

<file path=xl/calcChain.xml><?xml version="1.0" encoding="utf-8"?>
<calcChain xmlns="http://schemas.openxmlformats.org/spreadsheetml/2006/main">
  <c r="C8" i="4" l="1"/>
  <c r="F2" i="12"/>
  <c r="F3" i="12"/>
  <c r="F4" i="12"/>
  <c r="F5" i="12"/>
  <c r="F6" i="12"/>
  <c r="F7" i="12"/>
  <c r="F8" i="12"/>
  <c r="F9" i="12"/>
  <c r="F10" i="12"/>
  <c r="F11" i="12"/>
  <c r="F12" i="12"/>
  <c r="F13" i="12"/>
  <c r="C2" i="12"/>
  <c r="C3" i="12"/>
  <c r="C4" i="12"/>
  <c r="C5" i="12"/>
  <c r="C6" i="12"/>
  <c r="C7" i="12"/>
  <c r="C8" i="12"/>
  <c r="C9" i="12"/>
  <c r="C10" i="12"/>
  <c r="C11" i="12"/>
  <c r="C12" i="12"/>
  <c r="C13" i="12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J2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C25" i="9"/>
  <c r="C24" i="9"/>
  <c r="C23" i="9"/>
  <c r="C22" i="9"/>
  <c r="C21" i="9"/>
  <c r="C20" i="9"/>
  <c r="C18" i="9"/>
  <c r="C17" i="9"/>
  <c r="C16" i="9"/>
  <c r="C15" i="9"/>
  <c r="C14" i="9"/>
  <c r="C12" i="9"/>
  <c r="C11" i="9"/>
  <c r="C10" i="9"/>
  <c r="C9" i="9"/>
  <c r="C7" i="9"/>
  <c r="C6" i="9"/>
  <c r="C5" i="9"/>
  <c r="C4" i="9"/>
  <c r="C3" i="9"/>
  <c r="C2" i="9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6" i="4"/>
  <c r="C5" i="4"/>
  <c r="C4" i="4"/>
  <c r="C3" i="4"/>
  <c r="C2" i="4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J263" i="8"/>
  <c r="J262" i="8"/>
  <c r="J261" i="8"/>
  <c r="J260" i="8"/>
  <c r="J259" i="8"/>
  <c r="J258" i="8"/>
  <c r="J257" i="8"/>
  <c r="J256" i="8"/>
  <c r="J255" i="8"/>
  <c r="J254" i="8"/>
  <c r="J253" i="8"/>
  <c r="J252" i="8"/>
  <c r="J251" i="8"/>
  <c r="J250" i="8"/>
  <c r="J249" i="8"/>
  <c r="J248" i="8"/>
  <c r="J247" i="8"/>
  <c r="J246" i="8"/>
  <c r="J245" i="8"/>
  <c r="J244" i="8"/>
  <c r="J243" i="8"/>
  <c r="J242" i="8"/>
  <c r="J241" i="8"/>
  <c r="J240" i="8"/>
  <c r="J239" i="8"/>
  <c r="J238" i="8"/>
  <c r="J237" i="8"/>
  <c r="J236" i="8"/>
  <c r="J235" i="8"/>
  <c r="J234" i="8"/>
  <c r="J233" i="8"/>
  <c r="J232" i="8"/>
  <c r="J231" i="8"/>
  <c r="J230" i="8"/>
  <c r="J229" i="8"/>
  <c r="J228" i="8"/>
  <c r="J227" i="8"/>
  <c r="J226" i="8"/>
  <c r="J225" i="8"/>
  <c r="J224" i="8"/>
  <c r="J223" i="8"/>
  <c r="J222" i="8"/>
  <c r="J221" i="8"/>
  <c r="J220" i="8"/>
  <c r="J219" i="8"/>
  <c r="J218" i="8"/>
  <c r="J217" i="8"/>
  <c r="J216" i="8"/>
  <c r="J215" i="8"/>
  <c r="J214" i="8"/>
  <c r="J213" i="8"/>
  <c r="J212" i="8"/>
  <c r="J211" i="8"/>
  <c r="J210" i="8"/>
  <c r="J209" i="8"/>
  <c r="J208" i="8"/>
  <c r="J207" i="8"/>
  <c r="J206" i="8"/>
  <c r="J205" i="8"/>
  <c r="J204" i="8"/>
  <c r="J203" i="8"/>
  <c r="J202" i="8"/>
  <c r="J201" i="8"/>
  <c r="J200" i="8"/>
  <c r="J199" i="8"/>
  <c r="J198" i="8"/>
  <c r="J197" i="8"/>
  <c r="J196" i="8"/>
  <c r="J195" i="8"/>
  <c r="J194" i="8"/>
  <c r="J193" i="8"/>
  <c r="J192" i="8"/>
  <c r="J191" i="8"/>
  <c r="J190" i="8"/>
  <c r="J189" i="8"/>
  <c r="J188" i="8"/>
  <c r="J187" i="8"/>
  <c r="J186" i="8"/>
  <c r="J185" i="8"/>
  <c r="J184" i="8"/>
  <c r="J183" i="8"/>
  <c r="J182" i="8"/>
  <c r="J181" i="8"/>
  <c r="J180" i="8"/>
  <c r="J179" i="8"/>
  <c r="J178" i="8"/>
  <c r="J177" i="8"/>
  <c r="J176" i="8"/>
  <c r="J175" i="8"/>
  <c r="J174" i="8"/>
  <c r="J173" i="8"/>
  <c r="J172" i="8"/>
  <c r="J171" i="8"/>
  <c r="J170" i="8"/>
  <c r="J169" i="8"/>
  <c r="J168" i="8"/>
  <c r="J167" i="8"/>
  <c r="J166" i="8"/>
  <c r="J165" i="8"/>
  <c r="J164" i="8"/>
  <c r="J163" i="8"/>
  <c r="J162" i="8"/>
  <c r="J161" i="8"/>
  <c r="J160" i="8"/>
  <c r="J159" i="8"/>
  <c r="J158" i="8"/>
  <c r="J157" i="8"/>
  <c r="J156" i="8"/>
  <c r="J155" i="8"/>
  <c r="J154" i="8"/>
  <c r="J153" i="8"/>
  <c r="J152" i="8"/>
  <c r="J151" i="8"/>
  <c r="J150" i="8"/>
  <c r="J149" i="8"/>
  <c r="J148" i="8"/>
  <c r="J147" i="8"/>
  <c r="J146" i="8"/>
  <c r="J145" i="8"/>
  <c r="J144" i="8"/>
  <c r="J143" i="8"/>
  <c r="J142" i="8"/>
  <c r="J141" i="8"/>
  <c r="J140" i="8"/>
  <c r="J139" i="8"/>
  <c r="J138" i="8"/>
  <c r="J137" i="8"/>
  <c r="J136" i="8"/>
  <c r="J135" i="8"/>
  <c r="J134" i="8"/>
  <c r="J133" i="8"/>
  <c r="J132" i="8"/>
  <c r="J131" i="8"/>
  <c r="J130" i="8"/>
  <c r="J129" i="8"/>
  <c r="J128" i="8"/>
  <c r="J127" i="8"/>
  <c r="J126" i="8"/>
  <c r="J125" i="8"/>
  <c r="J124" i="8"/>
  <c r="J123" i="8"/>
  <c r="J122" i="8"/>
  <c r="J121" i="8"/>
  <c r="J120" i="8"/>
  <c r="J119" i="8"/>
  <c r="J118" i="8"/>
  <c r="J117" i="8"/>
  <c r="J116" i="8"/>
  <c r="J115" i="8"/>
  <c r="J114" i="8"/>
  <c r="J113" i="8"/>
  <c r="J112" i="8"/>
  <c r="J111" i="8"/>
  <c r="J110" i="8"/>
  <c r="J109" i="8"/>
  <c r="J108" i="8"/>
  <c r="J107" i="8"/>
  <c r="J106" i="8"/>
  <c r="J105" i="8"/>
  <c r="J104" i="8"/>
  <c r="J103" i="8"/>
  <c r="J102" i="8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" i="8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2" i="3"/>
  <c r="K11" i="3"/>
  <c r="K10" i="3"/>
  <c r="K9" i="3"/>
  <c r="K8" i="3"/>
  <c r="K7" i="3"/>
  <c r="K6" i="3"/>
  <c r="K5" i="3"/>
  <c r="K4" i="3"/>
  <c r="K3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K13" i="3" s="1"/>
  <c r="J12" i="3"/>
  <c r="J11" i="3"/>
  <c r="J10" i="3"/>
  <c r="J9" i="3"/>
  <c r="J8" i="3"/>
  <c r="J7" i="3"/>
  <c r="J6" i="3"/>
  <c r="J5" i="3"/>
  <c r="J4" i="3"/>
  <c r="J3" i="3"/>
  <c r="J2" i="3"/>
  <c r="K2" i="3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" i="3"/>
  <c r="DC23" i="7"/>
  <c r="DC22" i="7"/>
  <c r="DC21" i="7"/>
  <c r="DC20" i="7"/>
  <c r="DC19" i="7"/>
  <c r="DC18" i="7"/>
  <c r="DC17" i="7"/>
  <c r="DC16" i="7"/>
  <c r="DC15" i="7"/>
  <c r="DC14" i="7"/>
  <c r="DC13" i="7"/>
  <c r="DC12" i="7"/>
  <c r="DC11" i="7"/>
  <c r="DC10" i="7"/>
  <c r="DC9" i="7"/>
  <c r="DC8" i="7"/>
  <c r="DC7" i="7"/>
  <c r="DC6" i="7"/>
  <c r="DC5" i="7"/>
  <c r="DC4" i="7"/>
  <c r="DC3" i="7"/>
  <c r="DC2" i="7"/>
  <c r="DB23" i="7"/>
  <c r="DB22" i="7"/>
  <c r="DB21" i="7"/>
  <c r="DB20" i="7"/>
  <c r="DB19" i="7"/>
  <c r="DB18" i="7"/>
  <c r="DB17" i="7"/>
  <c r="DB16" i="7"/>
  <c r="DB15" i="7"/>
  <c r="DB14" i="7"/>
  <c r="DB13" i="7"/>
  <c r="DB12" i="7"/>
  <c r="DB11" i="7"/>
  <c r="DB10" i="7"/>
  <c r="DB9" i="7"/>
  <c r="DB8" i="7"/>
  <c r="DB7" i="7"/>
  <c r="DB6" i="7"/>
  <c r="DB5" i="7"/>
  <c r="DB4" i="7"/>
  <c r="DB3" i="7"/>
  <c r="DB2" i="7"/>
  <c r="CW15" i="7"/>
  <c r="CV23" i="7"/>
  <c r="CW23" i="7" s="1"/>
  <c r="CV22" i="7"/>
  <c r="CW22" i="7" s="1"/>
  <c r="CV21" i="7"/>
  <c r="CW21" i="7" s="1"/>
  <c r="CV20" i="7"/>
  <c r="CW20" i="7" s="1"/>
  <c r="CV19" i="7"/>
  <c r="CW19" i="7" s="1"/>
  <c r="CV18" i="7"/>
  <c r="CW18" i="7" s="1"/>
  <c r="CV17" i="7"/>
  <c r="CW17" i="7" s="1"/>
  <c r="CV16" i="7"/>
  <c r="CW16" i="7" s="1"/>
  <c r="CV15" i="7"/>
  <c r="CV14" i="7"/>
  <c r="CW14" i="7" s="1"/>
  <c r="CV13" i="7"/>
  <c r="CW13" i="7" s="1"/>
  <c r="CV12" i="7"/>
  <c r="CW12" i="7" s="1"/>
  <c r="CV11" i="7"/>
  <c r="CW11" i="7" s="1"/>
  <c r="CV10" i="7"/>
  <c r="CW10" i="7" s="1"/>
  <c r="CV9" i="7"/>
  <c r="CW9" i="7" s="1"/>
  <c r="CV8" i="7"/>
  <c r="CW8" i="7" s="1"/>
  <c r="CV7" i="7"/>
  <c r="CW7" i="7" s="1"/>
  <c r="CV6" i="7"/>
  <c r="CW6" i="7" s="1"/>
  <c r="CV5" i="7"/>
  <c r="CW5" i="7" s="1"/>
  <c r="CV4" i="7"/>
  <c r="CW4" i="7" s="1"/>
  <c r="CV3" i="7"/>
  <c r="CW3" i="7" s="1"/>
  <c r="CV2" i="7"/>
  <c r="CW2" i="7" s="1"/>
  <c r="CP23" i="7"/>
  <c r="CQ23" i="7" s="1"/>
  <c r="CP22" i="7"/>
  <c r="CQ22" i="7" s="1"/>
  <c r="CP21" i="7"/>
  <c r="CQ21" i="7" s="1"/>
  <c r="CP20" i="7"/>
  <c r="CQ20" i="7" s="1"/>
  <c r="CP19" i="7"/>
  <c r="CQ19" i="7" s="1"/>
  <c r="CP18" i="7"/>
  <c r="CQ18" i="7" s="1"/>
  <c r="CP17" i="7"/>
  <c r="CQ17" i="7" s="1"/>
  <c r="CP16" i="7"/>
  <c r="CQ16" i="7" s="1"/>
  <c r="CP15" i="7"/>
  <c r="CQ15" i="7" s="1"/>
  <c r="CP14" i="7"/>
  <c r="CQ14" i="7" s="1"/>
  <c r="CP13" i="7"/>
  <c r="CQ13" i="7" s="1"/>
  <c r="CP12" i="7"/>
  <c r="CQ12" i="7" s="1"/>
  <c r="CP11" i="7"/>
  <c r="CQ11" i="7" s="1"/>
  <c r="CP10" i="7"/>
  <c r="CQ10" i="7" s="1"/>
  <c r="CP9" i="7"/>
  <c r="CQ9" i="7" s="1"/>
  <c r="CP8" i="7"/>
  <c r="CQ8" i="7" s="1"/>
  <c r="CP7" i="7"/>
  <c r="CQ7" i="7" s="1"/>
  <c r="CP6" i="7"/>
  <c r="CQ6" i="7" s="1"/>
  <c r="CP5" i="7"/>
  <c r="CQ5" i="7" s="1"/>
  <c r="CP4" i="7"/>
  <c r="CQ4" i="7" s="1"/>
  <c r="CP3" i="7"/>
  <c r="CQ3" i="7" s="1"/>
  <c r="CP2" i="7"/>
  <c r="CQ2" i="7" s="1"/>
  <c r="CJ23" i="7"/>
  <c r="CK23" i="7" s="1"/>
  <c r="CJ22" i="7"/>
  <c r="CK22" i="7" s="1"/>
  <c r="CJ21" i="7"/>
  <c r="CK21" i="7" s="1"/>
  <c r="CJ20" i="7"/>
  <c r="CK20" i="7" s="1"/>
  <c r="CJ19" i="7"/>
  <c r="CK19" i="7" s="1"/>
  <c r="CJ18" i="7"/>
  <c r="CK18" i="7" s="1"/>
  <c r="CJ17" i="7"/>
  <c r="CK17" i="7" s="1"/>
  <c r="CJ16" i="7"/>
  <c r="CK16" i="7" s="1"/>
  <c r="CJ15" i="7"/>
  <c r="CK15" i="7" s="1"/>
  <c r="CJ14" i="7"/>
  <c r="CK14" i="7" s="1"/>
  <c r="CJ13" i="7"/>
  <c r="CK13" i="7" s="1"/>
  <c r="CJ12" i="7"/>
  <c r="CK12" i="7" s="1"/>
  <c r="CJ11" i="7"/>
  <c r="CK11" i="7" s="1"/>
  <c r="CJ10" i="7"/>
  <c r="CK10" i="7" s="1"/>
  <c r="CJ9" i="7"/>
  <c r="CK9" i="7" s="1"/>
  <c r="CJ8" i="7"/>
  <c r="CK8" i="7" s="1"/>
  <c r="CJ7" i="7"/>
  <c r="CK7" i="7" s="1"/>
  <c r="CJ6" i="7"/>
  <c r="CK6" i="7" s="1"/>
  <c r="CJ5" i="7"/>
  <c r="CK5" i="7" s="1"/>
  <c r="CJ4" i="7"/>
  <c r="CK4" i="7" s="1"/>
  <c r="CJ3" i="7"/>
  <c r="CK3" i="7" s="1"/>
  <c r="CJ2" i="7"/>
  <c r="CK2" i="7" s="1"/>
  <c r="DA2" i="7"/>
  <c r="DA3" i="7"/>
  <c r="DA4" i="7"/>
  <c r="DA5" i="7"/>
  <c r="DA6" i="7"/>
  <c r="DA7" i="7"/>
  <c r="DA8" i="7"/>
  <c r="DA9" i="7"/>
  <c r="DA10" i="7"/>
  <c r="DA11" i="7"/>
  <c r="DA12" i="7"/>
  <c r="DA13" i="7"/>
  <c r="DA14" i="7"/>
  <c r="DA15" i="7"/>
  <c r="DA16" i="7"/>
  <c r="DA17" i="7"/>
  <c r="DA18" i="7"/>
  <c r="DA19" i="7"/>
  <c r="DA20" i="7"/>
  <c r="DA21" i="7"/>
  <c r="DA22" i="7"/>
  <c r="DA23" i="7"/>
  <c r="CU2" i="7"/>
  <c r="CU3" i="7"/>
  <c r="CU4" i="7"/>
  <c r="CU5" i="7"/>
  <c r="CU6" i="7"/>
  <c r="CU7" i="7"/>
  <c r="CU8" i="7"/>
  <c r="CU9" i="7"/>
  <c r="CU10" i="7"/>
  <c r="CU11" i="7"/>
  <c r="CU12" i="7"/>
  <c r="CU13" i="7"/>
  <c r="CU14" i="7"/>
  <c r="CU15" i="7"/>
  <c r="CU16" i="7"/>
  <c r="CU17" i="7"/>
  <c r="CU18" i="7"/>
  <c r="CU19" i="7"/>
  <c r="CU20" i="7"/>
  <c r="CU21" i="7"/>
  <c r="CU22" i="7"/>
  <c r="CU23" i="7"/>
  <c r="CO2" i="7"/>
  <c r="CO3" i="7"/>
  <c r="CO4" i="7"/>
  <c r="CO5" i="7"/>
  <c r="CO6" i="7"/>
  <c r="CO7" i="7"/>
  <c r="CO8" i="7"/>
  <c r="CO9" i="7"/>
  <c r="CO10" i="7"/>
  <c r="CO11" i="7"/>
  <c r="CO12" i="7"/>
  <c r="CO13" i="7"/>
  <c r="CO14" i="7"/>
  <c r="CO15" i="7"/>
  <c r="CO16" i="7"/>
  <c r="CO17" i="7"/>
  <c r="CO18" i="7"/>
  <c r="CO19" i="7"/>
  <c r="CO20" i="7"/>
  <c r="CO21" i="7"/>
  <c r="CO22" i="7"/>
  <c r="CO23" i="7"/>
  <c r="CI2" i="7"/>
  <c r="CI3" i="7"/>
  <c r="CI4" i="7"/>
  <c r="CI5" i="7"/>
  <c r="CI6" i="7"/>
  <c r="CI7" i="7"/>
  <c r="CI8" i="7"/>
  <c r="CI9" i="7"/>
  <c r="CI10" i="7"/>
  <c r="CI11" i="7"/>
  <c r="CI12" i="7"/>
  <c r="CI13" i="7"/>
  <c r="CI14" i="7"/>
  <c r="CI15" i="7"/>
  <c r="CI16" i="7"/>
  <c r="CI17" i="7"/>
  <c r="CI18" i="7"/>
  <c r="CI19" i="7"/>
  <c r="CI20" i="7"/>
  <c r="CI21" i="7"/>
  <c r="CI22" i="7"/>
  <c r="CI23" i="7"/>
  <c r="CY2" i="7"/>
  <c r="CY3" i="7"/>
  <c r="CY4" i="7"/>
  <c r="CY5" i="7"/>
  <c r="CY6" i="7"/>
  <c r="CY7" i="7"/>
  <c r="CY8" i="7"/>
  <c r="CY9" i="7"/>
  <c r="CY10" i="7"/>
  <c r="CY11" i="7"/>
  <c r="CY12" i="7"/>
  <c r="CY13" i="7"/>
  <c r="CY14" i="7"/>
  <c r="CY15" i="7"/>
  <c r="CY16" i="7"/>
  <c r="CY17" i="7"/>
  <c r="CY18" i="7"/>
  <c r="CY19" i="7"/>
  <c r="CY20" i="7"/>
  <c r="CY21" i="7"/>
  <c r="CY22" i="7"/>
  <c r="CY23" i="7"/>
  <c r="CS2" i="7"/>
  <c r="CS3" i="7"/>
  <c r="CS4" i="7"/>
  <c r="CS5" i="7"/>
  <c r="CS6" i="7"/>
  <c r="CS7" i="7"/>
  <c r="CS8" i="7"/>
  <c r="CS9" i="7"/>
  <c r="CS10" i="7"/>
  <c r="CS11" i="7"/>
  <c r="CS12" i="7"/>
  <c r="CS13" i="7"/>
  <c r="CS14" i="7"/>
  <c r="CS15" i="7"/>
  <c r="CS16" i="7"/>
  <c r="CS17" i="7"/>
  <c r="CS18" i="7"/>
  <c r="CS19" i="7"/>
  <c r="CS20" i="7"/>
  <c r="CS21" i="7"/>
  <c r="CS22" i="7"/>
  <c r="CS23" i="7"/>
  <c r="CM2" i="7"/>
  <c r="CM3" i="7"/>
  <c r="CM4" i="7"/>
  <c r="CM5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M20" i="7"/>
  <c r="CM21" i="7"/>
  <c r="CM22" i="7"/>
  <c r="CM23" i="7"/>
  <c r="CG2" i="7"/>
  <c r="CG3" i="7"/>
  <c r="CG4" i="7"/>
  <c r="CG5" i="7"/>
  <c r="CG6" i="7"/>
  <c r="CG7" i="7"/>
  <c r="CG8" i="7"/>
  <c r="CG9" i="7"/>
  <c r="CG10" i="7"/>
  <c r="CG11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C23" i="7"/>
  <c r="CC22" i="7"/>
  <c r="CC21" i="7"/>
  <c r="CC20" i="7"/>
  <c r="CC19" i="7"/>
  <c r="CC18" i="7"/>
  <c r="CC17" i="7"/>
  <c r="CC16" i="7"/>
  <c r="CC15" i="7"/>
  <c r="CC14" i="7"/>
  <c r="CC13" i="7"/>
  <c r="CC12" i="7"/>
  <c r="CC11" i="7"/>
  <c r="CC10" i="7"/>
  <c r="CC9" i="7"/>
  <c r="CC8" i="7"/>
  <c r="CC7" i="7"/>
  <c r="CC6" i="7"/>
  <c r="CC5" i="7"/>
  <c r="CC4" i="7"/>
  <c r="CC3" i="7"/>
  <c r="CC2" i="7"/>
  <c r="BW23" i="7"/>
  <c r="BW22" i="7"/>
  <c r="BW21" i="7"/>
  <c r="BW20" i="7"/>
  <c r="BW19" i="7"/>
  <c r="BW18" i="7"/>
  <c r="BW17" i="7"/>
  <c r="BW16" i="7"/>
  <c r="BW15" i="7"/>
  <c r="BW14" i="7"/>
  <c r="BW13" i="7"/>
  <c r="BW12" i="7"/>
  <c r="BW11" i="7"/>
  <c r="BW10" i="7"/>
  <c r="BW9" i="7"/>
  <c r="BW8" i="7"/>
  <c r="BW7" i="7"/>
  <c r="BW6" i="7"/>
  <c r="BW5" i="7"/>
  <c r="BW4" i="7"/>
  <c r="BW3" i="7"/>
  <c r="BW2" i="7"/>
  <c r="BQ23" i="7"/>
  <c r="BQ22" i="7"/>
  <c r="BQ21" i="7"/>
  <c r="BQ20" i="7"/>
  <c r="BQ19" i="7"/>
  <c r="BQ18" i="7"/>
  <c r="BQ17" i="7"/>
  <c r="BQ16" i="7"/>
  <c r="BQ15" i="7"/>
  <c r="BQ14" i="7"/>
  <c r="BQ13" i="7"/>
  <c r="BQ12" i="7"/>
  <c r="BQ11" i="7"/>
  <c r="BQ10" i="7"/>
  <c r="BQ9" i="7"/>
  <c r="BQ8" i="7"/>
  <c r="BQ7" i="7"/>
  <c r="BQ6" i="7"/>
  <c r="BQ5" i="7"/>
  <c r="BQ4" i="7"/>
  <c r="BQ3" i="7"/>
  <c r="BQ2" i="7"/>
  <c r="BK23" i="7"/>
  <c r="BK22" i="7"/>
  <c r="BK21" i="7"/>
  <c r="BK20" i="7"/>
  <c r="BK19" i="7"/>
  <c r="BK18" i="7"/>
  <c r="BK17" i="7"/>
  <c r="BK16" i="7"/>
  <c r="BK15" i="7"/>
  <c r="BK14" i="7"/>
  <c r="BK13" i="7"/>
  <c r="BK12" i="7"/>
  <c r="BK11" i="7"/>
  <c r="BK10" i="7"/>
  <c r="BK9" i="7"/>
  <c r="BK8" i="7"/>
  <c r="BK7" i="7"/>
  <c r="BK6" i="7"/>
  <c r="BK5" i="7"/>
  <c r="BK4" i="7"/>
  <c r="BK3" i="7"/>
  <c r="BK2" i="7"/>
  <c r="BE23" i="7"/>
  <c r="BE22" i="7"/>
  <c r="BE21" i="7"/>
  <c r="BE20" i="7"/>
  <c r="BE19" i="7"/>
  <c r="BE18" i="7"/>
  <c r="BE17" i="7"/>
  <c r="BE16" i="7"/>
  <c r="BE15" i="7"/>
  <c r="BE14" i="7"/>
  <c r="BE13" i="7"/>
  <c r="BE12" i="7"/>
  <c r="BE11" i="7"/>
  <c r="BE10" i="7"/>
  <c r="BE9" i="7"/>
  <c r="BE8" i="7"/>
  <c r="BE7" i="7"/>
  <c r="BE6" i="7"/>
  <c r="BE5" i="7"/>
  <c r="BE4" i="7"/>
  <c r="BE3" i="7"/>
  <c r="BE2" i="7"/>
  <c r="AY23" i="7"/>
  <c r="AY22" i="7"/>
  <c r="AY21" i="7"/>
  <c r="AY20" i="7"/>
  <c r="AY19" i="7"/>
  <c r="AY18" i="7"/>
  <c r="AY17" i="7"/>
  <c r="AY16" i="7"/>
  <c r="AY15" i="7"/>
  <c r="AY14" i="7"/>
  <c r="AY13" i="7"/>
  <c r="AY12" i="7"/>
  <c r="AY11" i="7"/>
  <c r="AY10" i="7"/>
  <c r="AY9" i="7"/>
  <c r="AY8" i="7"/>
  <c r="AY7" i="7"/>
  <c r="AY6" i="7"/>
  <c r="AY5" i="7"/>
  <c r="AY4" i="7"/>
  <c r="AY3" i="7"/>
  <c r="AY2" i="7"/>
  <c r="AS23" i="7"/>
  <c r="AS22" i="7"/>
  <c r="AS21" i="7"/>
  <c r="AS20" i="7"/>
  <c r="AS19" i="7"/>
  <c r="AS18" i="7"/>
  <c r="AS17" i="7"/>
  <c r="AS16" i="7"/>
  <c r="AS15" i="7"/>
  <c r="AS14" i="7"/>
  <c r="AS13" i="7"/>
  <c r="AS12" i="7"/>
  <c r="AS11" i="7"/>
  <c r="AS10" i="7"/>
  <c r="AS9" i="7"/>
  <c r="AS8" i="7"/>
  <c r="AS7" i="7"/>
  <c r="AS6" i="7"/>
  <c r="AS5" i="7"/>
  <c r="AS4" i="7"/>
  <c r="AS3" i="7"/>
  <c r="AS2" i="7"/>
  <c r="AM23" i="7"/>
  <c r="AM22" i="7"/>
  <c r="AM21" i="7"/>
  <c r="AM20" i="7"/>
  <c r="AM19" i="7"/>
  <c r="AM18" i="7"/>
  <c r="AM17" i="7"/>
  <c r="AM16" i="7"/>
  <c r="AM15" i="7"/>
  <c r="AM14" i="7"/>
  <c r="AM13" i="7"/>
  <c r="AM12" i="7"/>
  <c r="AM11" i="7"/>
  <c r="AM10" i="7"/>
  <c r="AM9" i="7"/>
  <c r="AM8" i="7"/>
  <c r="AM7" i="7"/>
  <c r="AM6" i="7"/>
  <c r="AM5" i="7"/>
  <c r="AM4" i="7"/>
  <c r="AM3" i="7"/>
  <c r="AM2" i="7"/>
  <c r="AG23" i="7"/>
  <c r="AG22" i="7"/>
  <c r="AG21" i="7"/>
  <c r="AG20" i="7"/>
  <c r="AG19" i="7"/>
  <c r="AG18" i="7"/>
  <c r="AG17" i="7"/>
  <c r="AG16" i="7"/>
  <c r="AG15" i="7"/>
  <c r="AG14" i="7"/>
  <c r="AG13" i="7"/>
  <c r="AG12" i="7"/>
  <c r="AG11" i="7"/>
  <c r="AG10" i="7"/>
  <c r="AG9" i="7"/>
  <c r="AG8" i="7"/>
  <c r="AG7" i="7"/>
  <c r="AG6" i="7"/>
  <c r="AG5" i="7"/>
  <c r="AG4" i="7"/>
  <c r="AG3" i="7"/>
  <c r="AG2" i="7"/>
  <c r="AA23" i="7"/>
  <c r="AA22" i="7"/>
  <c r="AA21" i="7"/>
  <c r="AA20" i="7"/>
  <c r="AA19" i="7"/>
  <c r="AA18" i="7"/>
  <c r="AA17" i="7"/>
  <c r="AA16" i="7"/>
  <c r="AA15" i="7"/>
  <c r="AA14" i="7"/>
  <c r="AA13" i="7"/>
  <c r="AA12" i="7"/>
  <c r="AA11" i="7"/>
  <c r="AA10" i="7"/>
  <c r="AA9" i="7"/>
  <c r="AA8" i="7"/>
  <c r="AA7" i="7"/>
  <c r="AA6" i="7"/>
  <c r="AA5" i="7"/>
  <c r="AA4" i="7"/>
  <c r="AA3" i="7"/>
  <c r="AA2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U4" i="7"/>
  <c r="U3" i="7"/>
  <c r="U2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O4" i="7"/>
  <c r="O3" i="7"/>
  <c r="O2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2" i="7"/>
  <c r="CA23" i="7"/>
  <c r="CA22" i="7"/>
  <c r="CA21" i="7"/>
  <c r="CA20" i="7"/>
  <c r="CA19" i="7"/>
  <c r="CA18" i="7"/>
  <c r="CA17" i="7"/>
  <c r="CA16" i="7"/>
  <c r="CA15" i="7"/>
  <c r="CA14" i="7"/>
  <c r="CA13" i="7"/>
  <c r="CA12" i="7"/>
  <c r="CA11" i="7"/>
  <c r="CA10" i="7"/>
  <c r="CA9" i="7"/>
  <c r="CA8" i="7"/>
  <c r="CA7" i="7"/>
  <c r="CA6" i="7"/>
  <c r="CA5" i="7"/>
  <c r="CA4" i="7"/>
  <c r="CA3" i="7"/>
  <c r="CA2" i="7"/>
  <c r="BU23" i="7"/>
  <c r="BU22" i="7"/>
  <c r="BU21" i="7"/>
  <c r="BU20" i="7"/>
  <c r="BU19" i="7"/>
  <c r="BU18" i="7"/>
  <c r="BU17" i="7"/>
  <c r="BU16" i="7"/>
  <c r="BU15" i="7"/>
  <c r="BU14" i="7"/>
  <c r="BU13" i="7"/>
  <c r="BU12" i="7"/>
  <c r="BU11" i="7"/>
  <c r="BU10" i="7"/>
  <c r="BU9" i="7"/>
  <c r="BU8" i="7"/>
  <c r="BU7" i="7"/>
  <c r="BU6" i="7"/>
  <c r="BU5" i="7"/>
  <c r="BU4" i="7"/>
  <c r="BU3" i="7"/>
  <c r="BU2" i="7"/>
  <c r="BO23" i="7"/>
  <c r="BO22" i="7"/>
  <c r="BO21" i="7"/>
  <c r="BO20" i="7"/>
  <c r="BO19" i="7"/>
  <c r="BO18" i="7"/>
  <c r="BO17" i="7"/>
  <c r="BO16" i="7"/>
  <c r="BO15" i="7"/>
  <c r="BO14" i="7"/>
  <c r="BO13" i="7"/>
  <c r="BO12" i="7"/>
  <c r="BO11" i="7"/>
  <c r="BO10" i="7"/>
  <c r="BO9" i="7"/>
  <c r="BO8" i="7"/>
  <c r="BO7" i="7"/>
  <c r="BO6" i="7"/>
  <c r="BO5" i="7"/>
  <c r="BO4" i="7"/>
  <c r="BO3" i="7"/>
  <c r="BO2" i="7"/>
  <c r="BI23" i="7"/>
  <c r="BI22" i="7"/>
  <c r="BI21" i="7"/>
  <c r="BI20" i="7"/>
  <c r="BI19" i="7"/>
  <c r="BI18" i="7"/>
  <c r="BI17" i="7"/>
  <c r="BI16" i="7"/>
  <c r="BI15" i="7"/>
  <c r="BI14" i="7"/>
  <c r="BI13" i="7"/>
  <c r="BI12" i="7"/>
  <c r="BI11" i="7"/>
  <c r="BI10" i="7"/>
  <c r="BI9" i="7"/>
  <c r="BI8" i="7"/>
  <c r="BI7" i="7"/>
  <c r="BI6" i="7"/>
  <c r="BI5" i="7"/>
  <c r="BI4" i="7"/>
  <c r="BI3" i="7"/>
  <c r="BI2" i="7"/>
  <c r="BC23" i="7"/>
  <c r="BC22" i="7"/>
  <c r="BC21" i="7"/>
  <c r="BC20" i="7"/>
  <c r="BC19" i="7"/>
  <c r="BC18" i="7"/>
  <c r="BC17" i="7"/>
  <c r="BC16" i="7"/>
  <c r="BC15" i="7"/>
  <c r="BC14" i="7"/>
  <c r="BC13" i="7"/>
  <c r="BC12" i="7"/>
  <c r="BC11" i="7"/>
  <c r="BC10" i="7"/>
  <c r="BC9" i="7"/>
  <c r="BC8" i="7"/>
  <c r="BC7" i="7"/>
  <c r="BC6" i="7"/>
  <c r="BC5" i="7"/>
  <c r="BC4" i="7"/>
  <c r="BC3" i="7"/>
  <c r="BC2" i="7"/>
  <c r="AW23" i="7"/>
  <c r="AW22" i="7"/>
  <c r="AW21" i="7"/>
  <c r="AW20" i="7"/>
  <c r="AW19" i="7"/>
  <c r="AW18" i="7"/>
  <c r="AW17" i="7"/>
  <c r="AW16" i="7"/>
  <c r="AW15" i="7"/>
  <c r="AW14" i="7"/>
  <c r="AW13" i="7"/>
  <c r="AW12" i="7"/>
  <c r="AW11" i="7"/>
  <c r="AW10" i="7"/>
  <c r="AW9" i="7"/>
  <c r="AW8" i="7"/>
  <c r="AW7" i="7"/>
  <c r="AW6" i="7"/>
  <c r="AW5" i="7"/>
  <c r="AW4" i="7"/>
  <c r="AW3" i="7"/>
  <c r="AW2" i="7"/>
  <c r="AQ23" i="7"/>
  <c r="AQ22" i="7"/>
  <c r="AQ21" i="7"/>
  <c r="AQ20" i="7"/>
  <c r="AQ19" i="7"/>
  <c r="AQ18" i="7"/>
  <c r="AQ17" i="7"/>
  <c r="AQ16" i="7"/>
  <c r="AQ15" i="7"/>
  <c r="AQ14" i="7"/>
  <c r="AQ13" i="7"/>
  <c r="AQ12" i="7"/>
  <c r="AQ11" i="7"/>
  <c r="AQ10" i="7"/>
  <c r="AQ9" i="7"/>
  <c r="AQ8" i="7"/>
  <c r="AQ7" i="7"/>
  <c r="AQ6" i="7"/>
  <c r="AQ5" i="7"/>
  <c r="AQ4" i="7"/>
  <c r="AQ3" i="7"/>
  <c r="AQ2" i="7"/>
  <c r="AK23" i="7"/>
  <c r="AK22" i="7"/>
  <c r="AK21" i="7"/>
  <c r="AK20" i="7"/>
  <c r="AK19" i="7"/>
  <c r="AK18" i="7"/>
  <c r="AK17" i="7"/>
  <c r="AK16" i="7"/>
  <c r="AK15" i="7"/>
  <c r="AK14" i="7"/>
  <c r="AK13" i="7"/>
  <c r="AK12" i="7"/>
  <c r="AK11" i="7"/>
  <c r="AK10" i="7"/>
  <c r="AK9" i="7"/>
  <c r="AK8" i="7"/>
  <c r="AK7" i="7"/>
  <c r="AK6" i="7"/>
  <c r="AK5" i="7"/>
  <c r="AK4" i="7"/>
  <c r="AK3" i="7"/>
  <c r="AK2" i="7"/>
  <c r="AE23" i="7"/>
  <c r="AE22" i="7"/>
  <c r="AE21" i="7"/>
  <c r="AE20" i="7"/>
  <c r="AE19" i="7"/>
  <c r="AE18" i="7"/>
  <c r="AE17" i="7"/>
  <c r="AE16" i="7"/>
  <c r="AE15" i="7"/>
  <c r="AE14" i="7"/>
  <c r="AE13" i="7"/>
  <c r="AE12" i="7"/>
  <c r="AE11" i="7"/>
  <c r="AE10" i="7"/>
  <c r="AE9" i="7"/>
  <c r="AE8" i="7"/>
  <c r="AE7" i="7"/>
  <c r="AE6" i="7"/>
  <c r="AE5" i="7"/>
  <c r="AE4" i="7"/>
  <c r="AE3" i="7"/>
  <c r="AE2" i="7"/>
  <c r="Y23" i="7"/>
  <c r="Y22" i="7"/>
  <c r="Y21" i="7"/>
  <c r="Y20" i="7"/>
  <c r="Y19" i="7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Y4" i="7"/>
  <c r="Y3" i="7"/>
  <c r="Y2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S3" i="7"/>
  <c r="S2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E23" i="7"/>
  <c r="J23" i="7" s="1"/>
  <c r="K23" i="7" s="1"/>
  <c r="E22" i="7"/>
  <c r="J22" i="7" s="1"/>
  <c r="K22" i="7" s="1"/>
  <c r="E21" i="7"/>
  <c r="J21" i="7" s="1"/>
  <c r="K21" i="7" s="1"/>
  <c r="E20" i="7"/>
  <c r="J20" i="7" s="1"/>
  <c r="K20" i="7" s="1"/>
  <c r="E19" i="7"/>
  <c r="J19" i="7" s="1"/>
  <c r="K19" i="7" s="1"/>
  <c r="E18" i="7"/>
  <c r="J18" i="7" s="1"/>
  <c r="K18" i="7" s="1"/>
  <c r="E17" i="7"/>
  <c r="J17" i="7" s="1"/>
  <c r="K17" i="7" s="1"/>
  <c r="E16" i="7"/>
  <c r="J16" i="7" s="1"/>
  <c r="K16" i="7" s="1"/>
  <c r="E15" i="7"/>
  <c r="J15" i="7" s="1"/>
  <c r="K15" i="7" s="1"/>
  <c r="E14" i="7"/>
  <c r="J14" i="7" s="1"/>
  <c r="K14" i="7" s="1"/>
  <c r="E13" i="7"/>
  <c r="J13" i="7" s="1"/>
  <c r="K13" i="7" s="1"/>
  <c r="E12" i="7"/>
  <c r="J12" i="7" s="1"/>
  <c r="K12" i="7" s="1"/>
  <c r="E11" i="7"/>
  <c r="J11" i="7" s="1"/>
  <c r="K11" i="7" s="1"/>
  <c r="E10" i="7"/>
  <c r="J10" i="7" s="1"/>
  <c r="K10" i="7" s="1"/>
  <c r="E9" i="7"/>
  <c r="J9" i="7" s="1"/>
  <c r="K9" i="7" s="1"/>
  <c r="E8" i="7"/>
  <c r="J8" i="7" s="1"/>
  <c r="K8" i="7" s="1"/>
  <c r="E7" i="7"/>
  <c r="J7" i="7" s="1"/>
  <c r="K7" i="7" s="1"/>
  <c r="E6" i="7"/>
  <c r="J6" i="7" s="1"/>
  <c r="K6" i="7" s="1"/>
  <c r="E5" i="7"/>
  <c r="J5" i="7" s="1"/>
  <c r="K5" i="7" s="1"/>
  <c r="E4" i="7"/>
  <c r="J4" i="7" s="1"/>
  <c r="K4" i="7" s="1"/>
  <c r="E3" i="7"/>
  <c r="J3" i="7" s="1"/>
  <c r="K3" i="7" s="1"/>
  <c r="E2" i="7"/>
  <c r="J2" i="7" s="1"/>
  <c r="K2" i="7" s="1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DC21" i="2"/>
  <c r="DC10" i="2"/>
  <c r="DB23" i="2"/>
  <c r="DC23" i="2" s="1"/>
  <c r="DB22" i="2"/>
  <c r="DC22" i="2" s="1"/>
  <c r="DB21" i="2"/>
  <c r="DB20" i="2"/>
  <c r="DC20" i="2" s="1"/>
  <c r="DB19" i="2"/>
  <c r="DC19" i="2" s="1"/>
  <c r="DB18" i="2"/>
  <c r="DC18" i="2" s="1"/>
  <c r="DB17" i="2"/>
  <c r="DC17" i="2" s="1"/>
  <c r="DB16" i="2"/>
  <c r="DC16" i="2" s="1"/>
  <c r="DB15" i="2"/>
  <c r="DC15" i="2" s="1"/>
  <c r="DB14" i="2"/>
  <c r="DC14" i="2" s="1"/>
  <c r="DB13" i="2"/>
  <c r="DC13" i="2" s="1"/>
  <c r="DB12" i="2"/>
  <c r="DC12" i="2" s="1"/>
  <c r="DB11" i="2"/>
  <c r="DC11" i="2" s="1"/>
  <c r="DB10" i="2"/>
  <c r="DB9" i="2"/>
  <c r="DC9" i="2" s="1"/>
  <c r="DB8" i="2"/>
  <c r="DC8" i="2" s="1"/>
  <c r="DB7" i="2"/>
  <c r="DC7" i="2" s="1"/>
  <c r="DB6" i="2"/>
  <c r="DC6" i="2" s="1"/>
  <c r="DB5" i="2"/>
  <c r="DC5" i="2" s="1"/>
  <c r="DB4" i="2"/>
  <c r="DC4" i="2" s="1"/>
  <c r="DB3" i="2"/>
  <c r="DC3" i="2" s="1"/>
  <c r="DB2" i="2"/>
  <c r="DC2" i="2" s="1"/>
  <c r="CV23" i="2"/>
  <c r="CW23" i="2" s="1"/>
  <c r="CV22" i="2"/>
  <c r="CW22" i="2" s="1"/>
  <c r="CV21" i="2"/>
  <c r="CW21" i="2" s="1"/>
  <c r="CV20" i="2"/>
  <c r="CW20" i="2" s="1"/>
  <c r="CV19" i="2"/>
  <c r="CW19" i="2" s="1"/>
  <c r="CV18" i="2"/>
  <c r="CW18" i="2" s="1"/>
  <c r="CV17" i="2"/>
  <c r="CW17" i="2" s="1"/>
  <c r="CV16" i="2"/>
  <c r="CW16" i="2" s="1"/>
  <c r="CV15" i="2"/>
  <c r="CW15" i="2" s="1"/>
  <c r="CV14" i="2"/>
  <c r="CW14" i="2" s="1"/>
  <c r="CV13" i="2"/>
  <c r="CW13" i="2" s="1"/>
  <c r="CV12" i="2"/>
  <c r="CW12" i="2" s="1"/>
  <c r="CV11" i="2"/>
  <c r="CW11" i="2" s="1"/>
  <c r="CV10" i="2"/>
  <c r="CW10" i="2" s="1"/>
  <c r="CV9" i="2"/>
  <c r="CW9" i="2" s="1"/>
  <c r="CV8" i="2"/>
  <c r="CW8" i="2" s="1"/>
  <c r="CV7" i="2"/>
  <c r="CW7" i="2" s="1"/>
  <c r="CV6" i="2"/>
  <c r="CW6" i="2" s="1"/>
  <c r="CV5" i="2"/>
  <c r="CW5" i="2" s="1"/>
  <c r="CV4" i="2"/>
  <c r="CW4" i="2" s="1"/>
  <c r="CV3" i="2"/>
  <c r="CW3" i="2" s="1"/>
  <c r="CV2" i="2"/>
  <c r="CW2" i="2" s="1"/>
  <c r="CP23" i="2"/>
  <c r="CQ23" i="2" s="1"/>
  <c r="CP22" i="2"/>
  <c r="CQ22" i="2" s="1"/>
  <c r="CP21" i="2"/>
  <c r="CQ21" i="2" s="1"/>
  <c r="CP20" i="2"/>
  <c r="CQ20" i="2" s="1"/>
  <c r="CP19" i="2"/>
  <c r="CQ19" i="2" s="1"/>
  <c r="CP18" i="2"/>
  <c r="CQ18" i="2" s="1"/>
  <c r="CP17" i="2"/>
  <c r="CQ17" i="2" s="1"/>
  <c r="CP16" i="2"/>
  <c r="CQ16" i="2" s="1"/>
  <c r="CP15" i="2"/>
  <c r="CQ15" i="2" s="1"/>
  <c r="CP14" i="2"/>
  <c r="CQ14" i="2" s="1"/>
  <c r="CP13" i="2"/>
  <c r="CQ13" i="2" s="1"/>
  <c r="CP12" i="2"/>
  <c r="CQ12" i="2" s="1"/>
  <c r="CP11" i="2"/>
  <c r="CQ11" i="2" s="1"/>
  <c r="CP10" i="2"/>
  <c r="CQ10" i="2" s="1"/>
  <c r="CP9" i="2"/>
  <c r="CQ9" i="2" s="1"/>
  <c r="CP8" i="2"/>
  <c r="CQ8" i="2" s="1"/>
  <c r="CP7" i="2"/>
  <c r="CQ7" i="2" s="1"/>
  <c r="CP6" i="2"/>
  <c r="CQ6" i="2" s="1"/>
  <c r="CP5" i="2"/>
  <c r="CQ5" i="2" s="1"/>
  <c r="CP4" i="2"/>
  <c r="CQ4" i="2" s="1"/>
  <c r="CP3" i="2"/>
  <c r="CQ3" i="2" s="1"/>
  <c r="CP2" i="2"/>
  <c r="CQ2" i="2" s="1"/>
  <c r="CJ23" i="2"/>
  <c r="CK23" i="2" s="1"/>
  <c r="CJ22" i="2"/>
  <c r="CK22" i="2" s="1"/>
  <c r="CJ21" i="2"/>
  <c r="CK21" i="2" s="1"/>
  <c r="CJ20" i="2"/>
  <c r="CK20" i="2" s="1"/>
  <c r="CJ19" i="2"/>
  <c r="CK19" i="2" s="1"/>
  <c r="CJ18" i="2"/>
  <c r="CK18" i="2" s="1"/>
  <c r="CJ17" i="2"/>
  <c r="CK17" i="2" s="1"/>
  <c r="CJ16" i="2"/>
  <c r="CK16" i="2" s="1"/>
  <c r="CJ15" i="2"/>
  <c r="CK15" i="2" s="1"/>
  <c r="CJ14" i="2"/>
  <c r="CK14" i="2" s="1"/>
  <c r="CJ13" i="2"/>
  <c r="CK13" i="2" s="1"/>
  <c r="CJ12" i="2"/>
  <c r="CK12" i="2" s="1"/>
  <c r="CJ11" i="2"/>
  <c r="CK11" i="2" s="1"/>
  <c r="CJ10" i="2"/>
  <c r="CK10" i="2" s="1"/>
  <c r="CJ9" i="2"/>
  <c r="CK9" i="2" s="1"/>
  <c r="CJ8" i="2"/>
  <c r="CK8" i="2" s="1"/>
  <c r="CJ7" i="2"/>
  <c r="CK7" i="2" s="1"/>
  <c r="CJ6" i="2"/>
  <c r="CK6" i="2" s="1"/>
  <c r="CJ5" i="2"/>
  <c r="CK5" i="2" s="1"/>
  <c r="CJ4" i="2"/>
  <c r="CK4" i="2" s="1"/>
  <c r="CJ3" i="2"/>
  <c r="CK3" i="2" s="1"/>
  <c r="CJ2" i="2"/>
  <c r="CK2" i="2" s="1"/>
  <c r="DA2" i="2"/>
  <c r="DA3" i="2"/>
  <c r="DA4" i="2"/>
  <c r="DA5" i="2"/>
  <c r="DA6" i="2"/>
  <c r="DA7" i="2"/>
  <c r="DA8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CU2" i="2"/>
  <c r="CU3" i="2"/>
  <c r="CU4" i="2"/>
  <c r="CU5" i="2"/>
  <c r="CU6" i="2"/>
  <c r="CU7" i="2"/>
  <c r="CU8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O2" i="2"/>
  <c r="CO3" i="2"/>
  <c r="CO4" i="2"/>
  <c r="CO5" i="2"/>
  <c r="CO6" i="2"/>
  <c r="CO7" i="2"/>
  <c r="CO8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I2" i="2"/>
  <c r="CI3" i="2"/>
  <c r="CI4" i="2"/>
  <c r="CI5" i="2"/>
  <c r="CI6" i="2"/>
  <c r="CI7" i="2"/>
  <c r="CI8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Y2" i="2"/>
  <c r="CY3" i="2"/>
  <c r="CY4" i="2"/>
  <c r="CY5" i="2"/>
  <c r="CY6" i="2"/>
  <c r="CY7" i="2"/>
  <c r="CY8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S2" i="2"/>
  <c r="CS3" i="2"/>
  <c r="CS4" i="2"/>
  <c r="CS5" i="2"/>
  <c r="CS6" i="2"/>
  <c r="CS7" i="2"/>
  <c r="CS8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M2" i="2"/>
  <c r="CM3" i="2"/>
  <c r="CM4" i="2"/>
  <c r="CM5" i="2"/>
  <c r="CM6" i="2"/>
  <c r="CM7" i="2"/>
  <c r="CM8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G2" i="2"/>
  <c r="CG3" i="2"/>
  <c r="CG4" i="2"/>
  <c r="CG5" i="2"/>
  <c r="CG6" i="2"/>
  <c r="CG7" i="2"/>
  <c r="CG8" i="2"/>
  <c r="CG9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C23" i="2"/>
  <c r="CC22" i="2"/>
  <c r="CC21" i="2"/>
  <c r="CC20" i="2"/>
  <c r="CC19" i="2"/>
  <c r="CC18" i="2"/>
  <c r="CC17" i="2"/>
  <c r="CC16" i="2"/>
  <c r="CC15" i="2"/>
  <c r="CC14" i="2"/>
  <c r="CC13" i="2"/>
  <c r="CC12" i="2"/>
  <c r="CC11" i="2"/>
  <c r="CC10" i="2"/>
  <c r="CC9" i="2"/>
  <c r="CC8" i="2"/>
  <c r="CC7" i="2"/>
  <c r="CC6" i="2"/>
  <c r="CC5" i="2"/>
  <c r="CC4" i="2"/>
  <c r="CC3" i="2"/>
  <c r="CC2" i="2"/>
  <c r="BW23" i="2"/>
  <c r="BW22" i="2"/>
  <c r="BW21" i="2"/>
  <c r="BW20" i="2"/>
  <c r="BW19" i="2"/>
  <c r="BW18" i="2"/>
  <c r="BW17" i="2"/>
  <c r="BW16" i="2"/>
  <c r="BW15" i="2"/>
  <c r="BW14" i="2"/>
  <c r="BW13" i="2"/>
  <c r="BW12" i="2"/>
  <c r="BW11" i="2"/>
  <c r="BW10" i="2"/>
  <c r="BW9" i="2"/>
  <c r="BW8" i="2"/>
  <c r="BW7" i="2"/>
  <c r="BW6" i="2"/>
  <c r="BW5" i="2"/>
  <c r="BW4" i="2"/>
  <c r="BW3" i="2"/>
  <c r="BW2" i="2"/>
  <c r="BQ23" i="2"/>
  <c r="BQ22" i="2"/>
  <c r="BQ21" i="2"/>
  <c r="BQ20" i="2"/>
  <c r="BQ19" i="2"/>
  <c r="BQ18" i="2"/>
  <c r="BQ17" i="2"/>
  <c r="BQ16" i="2"/>
  <c r="BQ15" i="2"/>
  <c r="BQ14" i="2"/>
  <c r="BQ13" i="2"/>
  <c r="BQ12" i="2"/>
  <c r="BQ11" i="2"/>
  <c r="BQ10" i="2"/>
  <c r="BQ9" i="2"/>
  <c r="BQ8" i="2"/>
  <c r="BQ7" i="2"/>
  <c r="BQ6" i="2"/>
  <c r="BQ5" i="2"/>
  <c r="BQ4" i="2"/>
  <c r="BQ3" i="2"/>
  <c r="BQ2" i="2"/>
  <c r="BK23" i="2"/>
  <c r="BK22" i="2"/>
  <c r="BK21" i="2"/>
  <c r="BK20" i="2"/>
  <c r="BK19" i="2"/>
  <c r="BK18" i="2"/>
  <c r="BK17" i="2"/>
  <c r="BK16" i="2"/>
  <c r="BK15" i="2"/>
  <c r="BK14" i="2"/>
  <c r="BK13" i="2"/>
  <c r="BK12" i="2"/>
  <c r="BK11" i="2"/>
  <c r="BK10" i="2"/>
  <c r="BK9" i="2"/>
  <c r="BK8" i="2"/>
  <c r="BK7" i="2"/>
  <c r="BK6" i="2"/>
  <c r="BK5" i="2"/>
  <c r="BK4" i="2"/>
  <c r="BK3" i="2"/>
  <c r="BK2" i="2"/>
  <c r="BE23" i="2"/>
  <c r="BE22" i="2"/>
  <c r="BE21" i="2"/>
  <c r="BE20" i="2"/>
  <c r="BE19" i="2"/>
  <c r="BE18" i="2"/>
  <c r="BE17" i="2"/>
  <c r="BE16" i="2"/>
  <c r="BE15" i="2"/>
  <c r="BE14" i="2"/>
  <c r="BE13" i="2"/>
  <c r="BE12" i="2"/>
  <c r="BE11" i="2"/>
  <c r="BE10" i="2"/>
  <c r="BE9" i="2"/>
  <c r="BE8" i="2"/>
  <c r="BE7" i="2"/>
  <c r="BE6" i="2"/>
  <c r="BE5" i="2"/>
  <c r="BE4" i="2"/>
  <c r="BE3" i="2"/>
  <c r="BE2" i="2"/>
  <c r="AY23" i="2"/>
  <c r="AY22" i="2"/>
  <c r="AY21" i="2"/>
  <c r="AY20" i="2"/>
  <c r="AY19" i="2"/>
  <c r="AY18" i="2"/>
  <c r="AY17" i="2"/>
  <c r="AY16" i="2"/>
  <c r="AY15" i="2"/>
  <c r="AY14" i="2"/>
  <c r="AY13" i="2"/>
  <c r="AY12" i="2"/>
  <c r="AY11" i="2"/>
  <c r="AY10" i="2"/>
  <c r="AY9" i="2"/>
  <c r="AY8" i="2"/>
  <c r="AY7" i="2"/>
  <c r="AY6" i="2"/>
  <c r="AY5" i="2"/>
  <c r="AY4" i="2"/>
  <c r="AY3" i="2"/>
  <c r="AY2" i="2"/>
  <c r="AS23" i="2"/>
  <c r="AS22" i="2"/>
  <c r="AS21" i="2"/>
  <c r="AS20" i="2"/>
  <c r="AS19" i="2"/>
  <c r="AS18" i="2"/>
  <c r="AS17" i="2"/>
  <c r="AS16" i="2"/>
  <c r="AS15" i="2"/>
  <c r="AS14" i="2"/>
  <c r="AS13" i="2"/>
  <c r="AS12" i="2"/>
  <c r="AS11" i="2"/>
  <c r="AS10" i="2"/>
  <c r="AS9" i="2"/>
  <c r="AS8" i="2"/>
  <c r="AS7" i="2"/>
  <c r="AS6" i="2"/>
  <c r="AS5" i="2"/>
  <c r="AS4" i="2"/>
  <c r="AS3" i="2"/>
  <c r="AS2" i="2"/>
  <c r="AM23" i="2"/>
  <c r="AM22" i="2"/>
  <c r="AM21" i="2"/>
  <c r="AM20" i="2"/>
  <c r="AM19" i="2"/>
  <c r="AM18" i="2"/>
  <c r="AM17" i="2"/>
  <c r="AM16" i="2"/>
  <c r="AM15" i="2"/>
  <c r="AM14" i="2"/>
  <c r="AM13" i="2"/>
  <c r="AM12" i="2"/>
  <c r="AM11" i="2"/>
  <c r="AM10" i="2"/>
  <c r="AM9" i="2"/>
  <c r="AM8" i="2"/>
  <c r="AM7" i="2"/>
  <c r="AM6" i="2"/>
  <c r="AM5" i="2"/>
  <c r="AM4" i="2"/>
  <c r="AM3" i="2"/>
  <c r="AM2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G5" i="2"/>
  <c r="AG4" i="2"/>
  <c r="AG3" i="2"/>
  <c r="AG2" i="2"/>
  <c r="AA23" i="2"/>
  <c r="AA22" i="2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  <c r="U2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CA23" i="2"/>
  <c r="CA22" i="2"/>
  <c r="CA21" i="2"/>
  <c r="CA20" i="2"/>
  <c r="CA19" i="2"/>
  <c r="CA18" i="2"/>
  <c r="CA17" i="2"/>
  <c r="CA16" i="2"/>
  <c r="CA15" i="2"/>
  <c r="CA14" i="2"/>
  <c r="CA13" i="2"/>
  <c r="CA12" i="2"/>
  <c r="CA11" i="2"/>
  <c r="CA10" i="2"/>
  <c r="CA9" i="2"/>
  <c r="CA8" i="2"/>
  <c r="CA7" i="2"/>
  <c r="CA6" i="2"/>
  <c r="CA5" i="2"/>
  <c r="CA4" i="2"/>
  <c r="CA3" i="2"/>
  <c r="CA2" i="2"/>
  <c r="BU23" i="2"/>
  <c r="BU22" i="2"/>
  <c r="BU21" i="2"/>
  <c r="BU20" i="2"/>
  <c r="BU19" i="2"/>
  <c r="BU18" i="2"/>
  <c r="BU17" i="2"/>
  <c r="BU16" i="2"/>
  <c r="BU15" i="2"/>
  <c r="BU14" i="2"/>
  <c r="BU13" i="2"/>
  <c r="BU12" i="2"/>
  <c r="BU11" i="2"/>
  <c r="BU10" i="2"/>
  <c r="BU9" i="2"/>
  <c r="BU8" i="2"/>
  <c r="BU7" i="2"/>
  <c r="BU6" i="2"/>
  <c r="BU5" i="2"/>
  <c r="BU4" i="2"/>
  <c r="BU3" i="2"/>
  <c r="BU2" i="2"/>
  <c r="BO23" i="2"/>
  <c r="BO22" i="2"/>
  <c r="BO21" i="2"/>
  <c r="BO20" i="2"/>
  <c r="BO19" i="2"/>
  <c r="BO18" i="2"/>
  <c r="BO17" i="2"/>
  <c r="BO16" i="2"/>
  <c r="BO15" i="2"/>
  <c r="BO14" i="2"/>
  <c r="BO13" i="2"/>
  <c r="BO12" i="2"/>
  <c r="BO11" i="2"/>
  <c r="BO10" i="2"/>
  <c r="BO9" i="2"/>
  <c r="BO8" i="2"/>
  <c r="BO7" i="2"/>
  <c r="BO6" i="2"/>
  <c r="BO5" i="2"/>
  <c r="BO4" i="2"/>
  <c r="BO3" i="2"/>
  <c r="BO2" i="2"/>
  <c r="BI23" i="2"/>
  <c r="BI22" i="2"/>
  <c r="BI21" i="2"/>
  <c r="BI20" i="2"/>
  <c r="BI19" i="2"/>
  <c r="BI18" i="2"/>
  <c r="BI17" i="2"/>
  <c r="BI16" i="2"/>
  <c r="BI15" i="2"/>
  <c r="BI14" i="2"/>
  <c r="BI13" i="2"/>
  <c r="BI12" i="2"/>
  <c r="BI11" i="2"/>
  <c r="BI10" i="2"/>
  <c r="BI9" i="2"/>
  <c r="BI8" i="2"/>
  <c r="BI7" i="2"/>
  <c r="BI6" i="2"/>
  <c r="BI5" i="2"/>
  <c r="BI4" i="2"/>
  <c r="BI3" i="2"/>
  <c r="BI2" i="2"/>
  <c r="BC23" i="2"/>
  <c r="BC22" i="2"/>
  <c r="BC21" i="2"/>
  <c r="BC20" i="2"/>
  <c r="BC19" i="2"/>
  <c r="BC18" i="2"/>
  <c r="BC17" i="2"/>
  <c r="BC16" i="2"/>
  <c r="BC15" i="2"/>
  <c r="BC14" i="2"/>
  <c r="BC13" i="2"/>
  <c r="BC12" i="2"/>
  <c r="BC11" i="2"/>
  <c r="BC10" i="2"/>
  <c r="BC9" i="2"/>
  <c r="BC8" i="2"/>
  <c r="BC7" i="2"/>
  <c r="BC6" i="2"/>
  <c r="BC5" i="2"/>
  <c r="BC4" i="2"/>
  <c r="BC3" i="2"/>
  <c r="BC2" i="2"/>
  <c r="AW23" i="2"/>
  <c r="AW22" i="2"/>
  <c r="AW21" i="2"/>
  <c r="AW20" i="2"/>
  <c r="AW19" i="2"/>
  <c r="AW18" i="2"/>
  <c r="AW17" i="2"/>
  <c r="AW16" i="2"/>
  <c r="AW15" i="2"/>
  <c r="AW14" i="2"/>
  <c r="AW13" i="2"/>
  <c r="AW12" i="2"/>
  <c r="AW11" i="2"/>
  <c r="AW10" i="2"/>
  <c r="AW9" i="2"/>
  <c r="AW8" i="2"/>
  <c r="AW7" i="2"/>
  <c r="AW6" i="2"/>
  <c r="AW5" i="2"/>
  <c r="AW4" i="2"/>
  <c r="AW3" i="2"/>
  <c r="AW2" i="2"/>
  <c r="AQ23" i="2"/>
  <c r="AQ22" i="2"/>
  <c r="AQ21" i="2"/>
  <c r="AQ20" i="2"/>
  <c r="AQ19" i="2"/>
  <c r="AQ18" i="2"/>
  <c r="AQ17" i="2"/>
  <c r="AQ16" i="2"/>
  <c r="AQ15" i="2"/>
  <c r="AQ14" i="2"/>
  <c r="AQ13" i="2"/>
  <c r="AQ12" i="2"/>
  <c r="AQ11" i="2"/>
  <c r="AQ10" i="2"/>
  <c r="AQ9" i="2"/>
  <c r="AQ8" i="2"/>
  <c r="AQ7" i="2"/>
  <c r="AQ6" i="2"/>
  <c r="AQ5" i="2"/>
  <c r="AQ4" i="2"/>
  <c r="AQ3" i="2"/>
  <c r="AQ2" i="2"/>
  <c r="AK23" i="2"/>
  <c r="AK22" i="2"/>
  <c r="AK21" i="2"/>
  <c r="AK20" i="2"/>
  <c r="AK19" i="2"/>
  <c r="AK18" i="2"/>
  <c r="AK17" i="2"/>
  <c r="AK16" i="2"/>
  <c r="AK15" i="2"/>
  <c r="AK14" i="2"/>
  <c r="AK13" i="2"/>
  <c r="AK12" i="2"/>
  <c r="AK11" i="2"/>
  <c r="AK10" i="2"/>
  <c r="AK9" i="2"/>
  <c r="AK8" i="2"/>
  <c r="AK7" i="2"/>
  <c r="AK6" i="2"/>
  <c r="AK5" i="2"/>
  <c r="AK4" i="2"/>
  <c r="AK3" i="2"/>
  <c r="AK2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S2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E23" i="2"/>
  <c r="J23" i="2" s="1"/>
  <c r="K23" i="2" s="1"/>
  <c r="E22" i="2"/>
  <c r="J22" i="2" s="1"/>
  <c r="K22" i="2" s="1"/>
  <c r="E21" i="2"/>
  <c r="J21" i="2" s="1"/>
  <c r="K21" i="2" s="1"/>
  <c r="E20" i="2"/>
  <c r="J20" i="2" s="1"/>
  <c r="K20" i="2" s="1"/>
  <c r="E19" i="2"/>
  <c r="J19" i="2" s="1"/>
  <c r="K19" i="2" s="1"/>
  <c r="E18" i="2"/>
  <c r="J18" i="2" s="1"/>
  <c r="K18" i="2" s="1"/>
  <c r="E17" i="2"/>
  <c r="J17" i="2" s="1"/>
  <c r="K17" i="2" s="1"/>
  <c r="E16" i="2"/>
  <c r="J16" i="2" s="1"/>
  <c r="K16" i="2" s="1"/>
  <c r="E15" i="2"/>
  <c r="J15" i="2" s="1"/>
  <c r="K15" i="2" s="1"/>
  <c r="E14" i="2"/>
  <c r="J14" i="2" s="1"/>
  <c r="K14" i="2" s="1"/>
  <c r="E13" i="2"/>
  <c r="J13" i="2" s="1"/>
  <c r="K13" i="2" s="1"/>
  <c r="E12" i="2"/>
  <c r="J12" i="2" s="1"/>
  <c r="K12" i="2" s="1"/>
  <c r="E11" i="2"/>
  <c r="J11" i="2" s="1"/>
  <c r="K11" i="2" s="1"/>
  <c r="E10" i="2"/>
  <c r="J10" i="2" s="1"/>
  <c r="K10" i="2" s="1"/>
  <c r="E9" i="2"/>
  <c r="J9" i="2" s="1"/>
  <c r="K9" i="2" s="1"/>
  <c r="E8" i="2"/>
  <c r="J8" i="2" s="1"/>
  <c r="K8" i="2" s="1"/>
  <c r="E7" i="2"/>
  <c r="J7" i="2" s="1"/>
  <c r="K7" i="2" s="1"/>
  <c r="E6" i="2"/>
  <c r="J6" i="2" s="1"/>
  <c r="K6" i="2" s="1"/>
  <c r="E5" i="2"/>
  <c r="J5" i="2" s="1"/>
  <c r="K5" i="2" s="1"/>
  <c r="E4" i="2"/>
  <c r="J4" i="2" s="1"/>
  <c r="K4" i="2" s="1"/>
  <c r="E3" i="2"/>
  <c r="J3" i="2" s="1"/>
  <c r="K3" i="2" s="1"/>
  <c r="E2" i="2"/>
  <c r="J2" i="2" s="1"/>
  <c r="K2" i="2" s="1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CD14" i="7" l="1"/>
  <c r="CE14" i="7" s="1"/>
  <c r="CD15" i="7"/>
  <c r="CE15" i="7" s="1"/>
  <c r="BX13" i="7"/>
  <c r="BY13" i="7" s="1"/>
  <c r="CD2" i="7"/>
  <c r="CE2" i="7" s="1"/>
  <c r="CD3" i="7"/>
  <c r="CE3" i="7" s="1"/>
  <c r="CD13" i="7"/>
  <c r="CE13" i="7" s="1"/>
  <c r="CD12" i="7"/>
  <c r="CE12" i="7" s="1"/>
  <c r="CD4" i="7"/>
  <c r="CE4" i="7" s="1"/>
  <c r="CD16" i="7"/>
  <c r="CE16" i="7" s="1"/>
  <c r="CD5" i="7"/>
  <c r="CE5" i="7" s="1"/>
  <c r="CD17" i="7"/>
  <c r="CE17" i="7" s="1"/>
  <c r="CD6" i="7"/>
  <c r="CE6" i="7" s="1"/>
  <c r="CD18" i="7"/>
  <c r="CE18" i="7" s="1"/>
  <c r="CD7" i="7"/>
  <c r="CE7" i="7" s="1"/>
  <c r="CD19" i="7"/>
  <c r="CE19" i="7" s="1"/>
  <c r="CD8" i="7"/>
  <c r="CE8" i="7" s="1"/>
  <c r="CD20" i="7"/>
  <c r="CE20" i="7" s="1"/>
  <c r="CD9" i="7"/>
  <c r="CE9" i="7" s="1"/>
  <c r="CD21" i="7"/>
  <c r="CE21" i="7" s="1"/>
  <c r="CD10" i="7"/>
  <c r="CE10" i="7" s="1"/>
  <c r="CD22" i="7"/>
  <c r="CE22" i="7" s="1"/>
  <c r="CD11" i="7"/>
  <c r="CE11" i="7" s="1"/>
  <c r="CD23" i="7"/>
  <c r="CE23" i="7" s="1"/>
  <c r="BR14" i="7"/>
  <c r="BS14" i="7" s="1"/>
  <c r="BX12" i="7"/>
  <c r="BY12" i="7" s="1"/>
  <c r="BX2" i="7"/>
  <c r="BY2" i="7" s="1"/>
  <c r="BX14" i="7"/>
  <c r="BY14" i="7" s="1"/>
  <c r="BX3" i="7"/>
  <c r="BY3" i="7" s="1"/>
  <c r="BX15" i="7"/>
  <c r="BY15" i="7" s="1"/>
  <c r="BX4" i="7"/>
  <c r="BY4" i="7" s="1"/>
  <c r="BX16" i="7"/>
  <c r="BY16" i="7" s="1"/>
  <c r="BX5" i="7"/>
  <c r="BY5" i="7" s="1"/>
  <c r="BX17" i="7"/>
  <c r="BY17" i="7" s="1"/>
  <c r="BX6" i="7"/>
  <c r="BY6" i="7" s="1"/>
  <c r="BX18" i="7"/>
  <c r="BY18" i="7" s="1"/>
  <c r="BX7" i="7"/>
  <c r="BY7" i="7" s="1"/>
  <c r="BX19" i="7"/>
  <c r="BY19" i="7" s="1"/>
  <c r="BX8" i="7"/>
  <c r="BY8" i="7" s="1"/>
  <c r="BX20" i="7"/>
  <c r="BY20" i="7" s="1"/>
  <c r="BX9" i="7"/>
  <c r="BY9" i="7" s="1"/>
  <c r="BX21" i="7"/>
  <c r="BY21" i="7" s="1"/>
  <c r="BX10" i="7"/>
  <c r="BY10" i="7" s="1"/>
  <c r="BX22" i="7"/>
  <c r="BY22" i="7" s="1"/>
  <c r="BX11" i="7"/>
  <c r="BY11" i="7" s="1"/>
  <c r="BX23" i="7"/>
  <c r="BY23" i="7" s="1"/>
  <c r="BR13" i="7"/>
  <c r="BS13" i="7" s="1"/>
  <c r="BR2" i="7"/>
  <c r="BS2" i="7" s="1"/>
  <c r="BR12" i="7"/>
  <c r="BS12" i="7" s="1"/>
  <c r="BR3" i="7"/>
  <c r="BS3" i="7" s="1"/>
  <c r="BR15" i="7"/>
  <c r="BS15" i="7" s="1"/>
  <c r="BR4" i="7"/>
  <c r="BS4" i="7" s="1"/>
  <c r="BR16" i="7"/>
  <c r="BS16" i="7" s="1"/>
  <c r="BR5" i="7"/>
  <c r="BS5" i="7" s="1"/>
  <c r="BR17" i="7"/>
  <c r="BS17" i="7" s="1"/>
  <c r="BR6" i="7"/>
  <c r="BS6" i="7" s="1"/>
  <c r="BR18" i="7"/>
  <c r="BS18" i="7" s="1"/>
  <c r="BR7" i="7"/>
  <c r="BS7" i="7" s="1"/>
  <c r="BR19" i="7"/>
  <c r="BS19" i="7" s="1"/>
  <c r="BR8" i="7"/>
  <c r="BS8" i="7" s="1"/>
  <c r="BR20" i="7"/>
  <c r="BS20" i="7" s="1"/>
  <c r="BR9" i="7"/>
  <c r="BS9" i="7" s="1"/>
  <c r="BR21" i="7"/>
  <c r="BS21" i="7" s="1"/>
  <c r="BR10" i="7"/>
  <c r="BS10" i="7" s="1"/>
  <c r="BR22" i="7"/>
  <c r="BS22" i="7" s="1"/>
  <c r="BR11" i="7"/>
  <c r="BS11" i="7" s="1"/>
  <c r="BR23" i="7"/>
  <c r="BS23" i="7" s="1"/>
  <c r="BL12" i="7"/>
  <c r="BM12" i="7" s="1"/>
  <c r="BL13" i="7"/>
  <c r="BM13" i="7" s="1"/>
  <c r="BL2" i="7"/>
  <c r="BM2" i="7" s="1"/>
  <c r="BL14" i="7"/>
  <c r="BM14" i="7" s="1"/>
  <c r="BL3" i="7"/>
  <c r="BM3" i="7" s="1"/>
  <c r="BL15" i="7"/>
  <c r="BM15" i="7" s="1"/>
  <c r="BL4" i="7"/>
  <c r="BM4" i="7" s="1"/>
  <c r="BL16" i="7"/>
  <c r="BM16" i="7" s="1"/>
  <c r="BL5" i="7"/>
  <c r="BM5" i="7" s="1"/>
  <c r="BL17" i="7"/>
  <c r="BM17" i="7" s="1"/>
  <c r="BL6" i="7"/>
  <c r="BM6" i="7" s="1"/>
  <c r="BL18" i="7"/>
  <c r="BM18" i="7" s="1"/>
  <c r="BL7" i="7"/>
  <c r="BM7" i="7" s="1"/>
  <c r="BL19" i="7"/>
  <c r="BM19" i="7" s="1"/>
  <c r="BL8" i="7"/>
  <c r="BM8" i="7" s="1"/>
  <c r="BL20" i="7"/>
  <c r="BM20" i="7" s="1"/>
  <c r="BL9" i="7"/>
  <c r="BM9" i="7" s="1"/>
  <c r="BL21" i="7"/>
  <c r="BM21" i="7" s="1"/>
  <c r="BL10" i="7"/>
  <c r="BM10" i="7" s="1"/>
  <c r="BL22" i="7"/>
  <c r="BM22" i="7" s="1"/>
  <c r="BL11" i="7"/>
  <c r="BM11" i="7" s="1"/>
  <c r="BL23" i="7"/>
  <c r="BM23" i="7" s="1"/>
  <c r="BF12" i="7"/>
  <c r="BG12" i="7" s="1"/>
  <c r="AZ13" i="7"/>
  <c r="BA13" i="7" s="1"/>
  <c r="BF13" i="7"/>
  <c r="BG13" i="7" s="1"/>
  <c r="BF2" i="7"/>
  <c r="BG2" i="7" s="1"/>
  <c r="BF14" i="7"/>
  <c r="BG14" i="7" s="1"/>
  <c r="BF3" i="7"/>
  <c r="BG3" i="7" s="1"/>
  <c r="BF15" i="7"/>
  <c r="BG15" i="7" s="1"/>
  <c r="BF4" i="7"/>
  <c r="BG4" i="7" s="1"/>
  <c r="BF16" i="7"/>
  <c r="BG16" i="7" s="1"/>
  <c r="BF5" i="7"/>
  <c r="BG5" i="7" s="1"/>
  <c r="BF17" i="7"/>
  <c r="BG17" i="7" s="1"/>
  <c r="BF6" i="7"/>
  <c r="BG6" i="7" s="1"/>
  <c r="BF18" i="7"/>
  <c r="BG18" i="7" s="1"/>
  <c r="BF7" i="7"/>
  <c r="BG7" i="7" s="1"/>
  <c r="BF19" i="7"/>
  <c r="BG19" i="7" s="1"/>
  <c r="BF8" i="7"/>
  <c r="BG8" i="7" s="1"/>
  <c r="BF20" i="7"/>
  <c r="BG20" i="7" s="1"/>
  <c r="BF9" i="7"/>
  <c r="BG9" i="7" s="1"/>
  <c r="BF21" i="7"/>
  <c r="BG21" i="7" s="1"/>
  <c r="BF10" i="7"/>
  <c r="BG10" i="7" s="1"/>
  <c r="BF22" i="7"/>
  <c r="BG22" i="7" s="1"/>
  <c r="BF11" i="7"/>
  <c r="BG11" i="7" s="1"/>
  <c r="BF23" i="7"/>
  <c r="BG23" i="7" s="1"/>
  <c r="AT13" i="7"/>
  <c r="AU13" i="7" s="1"/>
  <c r="AN14" i="7"/>
  <c r="AO14" i="7" s="1"/>
  <c r="AZ12" i="7"/>
  <c r="BA12" i="7" s="1"/>
  <c r="AZ2" i="7"/>
  <c r="BA2" i="7" s="1"/>
  <c r="AZ14" i="7"/>
  <c r="BA14" i="7" s="1"/>
  <c r="AZ3" i="7"/>
  <c r="BA3" i="7" s="1"/>
  <c r="AZ15" i="7"/>
  <c r="BA15" i="7" s="1"/>
  <c r="AZ4" i="7"/>
  <c r="BA4" i="7" s="1"/>
  <c r="AZ16" i="7"/>
  <c r="BA16" i="7" s="1"/>
  <c r="AZ5" i="7"/>
  <c r="BA5" i="7" s="1"/>
  <c r="AZ17" i="7"/>
  <c r="BA17" i="7" s="1"/>
  <c r="AZ6" i="7"/>
  <c r="BA6" i="7" s="1"/>
  <c r="AZ18" i="7"/>
  <c r="BA18" i="7" s="1"/>
  <c r="AZ7" i="7"/>
  <c r="BA7" i="7" s="1"/>
  <c r="AZ19" i="7"/>
  <c r="BA19" i="7" s="1"/>
  <c r="AZ8" i="7"/>
  <c r="BA8" i="7" s="1"/>
  <c r="AZ20" i="7"/>
  <c r="BA20" i="7" s="1"/>
  <c r="AZ9" i="7"/>
  <c r="BA9" i="7" s="1"/>
  <c r="AZ21" i="7"/>
  <c r="BA21" i="7" s="1"/>
  <c r="AZ10" i="7"/>
  <c r="BA10" i="7" s="1"/>
  <c r="AZ22" i="7"/>
  <c r="BA22" i="7" s="1"/>
  <c r="AZ11" i="7"/>
  <c r="BA11" i="7" s="1"/>
  <c r="AZ23" i="7"/>
  <c r="BA23" i="7" s="1"/>
  <c r="AT12" i="7"/>
  <c r="AU12" i="7" s="1"/>
  <c r="AT2" i="7"/>
  <c r="AU2" i="7" s="1"/>
  <c r="AT14" i="7"/>
  <c r="AU14" i="7" s="1"/>
  <c r="AT3" i="7"/>
  <c r="AU3" i="7" s="1"/>
  <c r="AT15" i="7"/>
  <c r="AU15" i="7" s="1"/>
  <c r="AT4" i="7"/>
  <c r="AU4" i="7" s="1"/>
  <c r="AT16" i="7"/>
  <c r="AU16" i="7" s="1"/>
  <c r="AT5" i="7"/>
  <c r="AU5" i="7" s="1"/>
  <c r="AT17" i="7"/>
  <c r="AU17" i="7" s="1"/>
  <c r="AT6" i="7"/>
  <c r="AU6" i="7" s="1"/>
  <c r="AT18" i="7"/>
  <c r="AU18" i="7" s="1"/>
  <c r="AT7" i="7"/>
  <c r="AU7" i="7" s="1"/>
  <c r="AT19" i="7"/>
  <c r="AU19" i="7" s="1"/>
  <c r="AT8" i="7"/>
  <c r="AU8" i="7" s="1"/>
  <c r="AT20" i="7"/>
  <c r="AU20" i="7" s="1"/>
  <c r="AT9" i="7"/>
  <c r="AU9" i="7" s="1"/>
  <c r="AT21" i="7"/>
  <c r="AU21" i="7" s="1"/>
  <c r="AT10" i="7"/>
  <c r="AU10" i="7" s="1"/>
  <c r="AT22" i="7"/>
  <c r="AU22" i="7" s="1"/>
  <c r="AT11" i="7"/>
  <c r="AU11" i="7" s="1"/>
  <c r="AT23" i="7"/>
  <c r="AU23" i="7" s="1"/>
  <c r="AN13" i="7"/>
  <c r="AO13" i="7" s="1"/>
  <c r="AH14" i="7"/>
  <c r="AI14" i="7" s="1"/>
  <c r="AN2" i="7"/>
  <c r="AO2" i="7" s="1"/>
  <c r="AN12" i="7"/>
  <c r="AO12" i="7" s="1"/>
  <c r="AN3" i="7"/>
  <c r="AO3" i="7" s="1"/>
  <c r="AN15" i="7"/>
  <c r="AO15" i="7" s="1"/>
  <c r="AN4" i="7"/>
  <c r="AO4" i="7" s="1"/>
  <c r="AN16" i="7"/>
  <c r="AO16" i="7" s="1"/>
  <c r="AN5" i="7"/>
  <c r="AO5" i="7" s="1"/>
  <c r="AN17" i="7"/>
  <c r="AO17" i="7" s="1"/>
  <c r="AN6" i="7"/>
  <c r="AO6" i="7" s="1"/>
  <c r="AN18" i="7"/>
  <c r="AO18" i="7" s="1"/>
  <c r="AN7" i="7"/>
  <c r="AO7" i="7" s="1"/>
  <c r="AN19" i="7"/>
  <c r="AO19" i="7" s="1"/>
  <c r="AN8" i="7"/>
  <c r="AO8" i="7" s="1"/>
  <c r="AN20" i="7"/>
  <c r="AO20" i="7" s="1"/>
  <c r="AN9" i="7"/>
  <c r="AO9" i="7" s="1"/>
  <c r="AN21" i="7"/>
  <c r="AO21" i="7" s="1"/>
  <c r="AN10" i="7"/>
  <c r="AO10" i="7" s="1"/>
  <c r="AN22" i="7"/>
  <c r="AO22" i="7" s="1"/>
  <c r="AN11" i="7"/>
  <c r="AO11" i="7" s="1"/>
  <c r="AN23" i="7"/>
  <c r="AO23" i="7" s="1"/>
  <c r="AH13" i="7"/>
  <c r="AI13" i="7" s="1"/>
  <c r="V13" i="7"/>
  <c r="W13" i="7" s="1"/>
  <c r="AH2" i="7"/>
  <c r="AI2" i="7" s="1"/>
  <c r="AH12" i="7"/>
  <c r="AI12" i="7" s="1"/>
  <c r="AH3" i="7"/>
  <c r="AI3" i="7" s="1"/>
  <c r="AH15" i="7"/>
  <c r="AI15" i="7" s="1"/>
  <c r="AH4" i="7"/>
  <c r="AI4" i="7" s="1"/>
  <c r="AH16" i="7"/>
  <c r="AI16" i="7" s="1"/>
  <c r="AH5" i="7"/>
  <c r="AI5" i="7" s="1"/>
  <c r="AH17" i="7"/>
  <c r="AI17" i="7" s="1"/>
  <c r="AH6" i="7"/>
  <c r="AI6" i="7" s="1"/>
  <c r="AH18" i="7"/>
  <c r="AI18" i="7" s="1"/>
  <c r="AH7" i="7"/>
  <c r="AI7" i="7" s="1"/>
  <c r="AH19" i="7"/>
  <c r="AI19" i="7" s="1"/>
  <c r="AH8" i="7"/>
  <c r="AI8" i="7" s="1"/>
  <c r="AH20" i="7"/>
  <c r="AI20" i="7" s="1"/>
  <c r="AH9" i="7"/>
  <c r="AI9" i="7" s="1"/>
  <c r="AH21" i="7"/>
  <c r="AI21" i="7" s="1"/>
  <c r="AH10" i="7"/>
  <c r="AI10" i="7" s="1"/>
  <c r="AH22" i="7"/>
  <c r="AI22" i="7" s="1"/>
  <c r="AH11" i="7"/>
  <c r="AI11" i="7" s="1"/>
  <c r="AH23" i="7"/>
  <c r="AI23" i="7" s="1"/>
  <c r="AB13" i="7"/>
  <c r="AC13" i="7" s="1"/>
  <c r="AB12" i="7"/>
  <c r="AC12" i="7" s="1"/>
  <c r="AB2" i="7"/>
  <c r="AC2" i="7" s="1"/>
  <c r="AB14" i="7"/>
  <c r="AC14" i="7" s="1"/>
  <c r="AB3" i="7"/>
  <c r="AC3" i="7" s="1"/>
  <c r="AB15" i="7"/>
  <c r="AC15" i="7" s="1"/>
  <c r="AB4" i="7"/>
  <c r="AC4" i="7" s="1"/>
  <c r="AB16" i="7"/>
  <c r="AC16" i="7" s="1"/>
  <c r="AB5" i="7"/>
  <c r="AC5" i="7" s="1"/>
  <c r="AB17" i="7"/>
  <c r="AC17" i="7" s="1"/>
  <c r="AB6" i="7"/>
  <c r="AC6" i="7" s="1"/>
  <c r="AB18" i="7"/>
  <c r="AC18" i="7" s="1"/>
  <c r="AB7" i="7"/>
  <c r="AC7" i="7" s="1"/>
  <c r="AB19" i="7"/>
  <c r="AC19" i="7" s="1"/>
  <c r="AB8" i="7"/>
  <c r="AC8" i="7" s="1"/>
  <c r="AB20" i="7"/>
  <c r="AC20" i="7" s="1"/>
  <c r="AB9" i="7"/>
  <c r="AC9" i="7" s="1"/>
  <c r="AB21" i="7"/>
  <c r="AC21" i="7" s="1"/>
  <c r="AB10" i="7"/>
  <c r="AC10" i="7" s="1"/>
  <c r="AB22" i="7"/>
  <c r="AC22" i="7" s="1"/>
  <c r="AB11" i="7"/>
  <c r="AC11" i="7" s="1"/>
  <c r="AB23" i="7"/>
  <c r="AC23" i="7" s="1"/>
  <c r="P13" i="7"/>
  <c r="Q13" i="7" s="1"/>
  <c r="V12" i="7"/>
  <c r="W12" i="7" s="1"/>
  <c r="V2" i="7"/>
  <c r="W2" i="7" s="1"/>
  <c r="V14" i="7"/>
  <c r="W14" i="7" s="1"/>
  <c r="V3" i="7"/>
  <c r="W3" i="7" s="1"/>
  <c r="V15" i="7"/>
  <c r="W15" i="7" s="1"/>
  <c r="V4" i="7"/>
  <c r="W4" i="7" s="1"/>
  <c r="V16" i="7"/>
  <c r="W16" i="7" s="1"/>
  <c r="V5" i="7"/>
  <c r="W5" i="7" s="1"/>
  <c r="V17" i="7"/>
  <c r="W17" i="7" s="1"/>
  <c r="V6" i="7"/>
  <c r="W6" i="7" s="1"/>
  <c r="V18" i="7"/>
  <c r="W18" i="7" s="1"/>
  <c r="V7" i="7"/>
  <c r="W7" i="7" s="1"/>
  <c r="V19" i="7"/>
  <c r="W19" i="7" s="1"/>
  <c r="V8" i="7"/>
  <c r="W8" i="7" s="1"/>
  <c r="V20" i="7"/>
  <c r="W20" i="7" s="1"/>
  <c r="V9" i="7"/>
  <c r="W9" i="7" s="1"/>
  <c r="V21" i="7"/>
  <c r="W21" i="7" s="1"/>
  <c r="V10" i="7"/>
  <c r="W10" i="7" s="1"/>
  <c r="V22" i="7"/>
  <c r="W22" i="7" s="1"/>
  <c r="V11" i="7"/>
  <c r="W11" i="7" s="1"/>
  <c r="V23" i="7"/>
  <c r="W23" i="7" s="1"/>
  <c r="P12" i="7"/>
  <c r="Q12" i="7" s="1"/>
  <c r="P2" i="7"/>
  <c r="Q2" i="7" s="1"/>
  <c r="P14" i="7"/>
  <c r="Q14" i="7" s="1"/>
  <c r="P3" i="7"/>
  <c r="Q3" i="7" s="1"/>
  <c r="P15" i="7"/>
  <c r="Q15" i="7" s="1"/>
  <c r="P4" i="7"/>
  <c r="Q4" i="7" s="1"/>
  <c r="P16" i="7"/>
  <c r="Q16" i="7" s="1"/>
  <c r="P5" i="7"/>
  <c r="Q5" i="7" s="1"/>
  <c r="P17" i="7"/>
  <c r="Q17" i="7" s="1"/>
  <c r="P6" i="7"/>
  <c r="Q6" i="7" s="1"/>
  <c r="P18" i="7"/>
  <c r="Q18" i="7" s="1"/>
  <c r="P7" i="7"/>
  <c r="Q7" i="7" s="1"/>
  <c r="P19" i="7"/>
  <c r="Q19" i="7" s="1"/>
  <c r="P8" i="7"/>
  <c r="Q8" i="7" s="1"/>
  <c r="P20" i="7"/>
  <c r="Q20" i="7" s="1"/>
  <c r="P9" i="7"/>
  <c r="Q9" i="7" s="1"/>
  <c r="P21" i="7"/>
  <c r="Q21" i="7" s="1"/>
  <c r="P10" i="7"/>
  <c r="Q10" i="7" s="1"/>
  <c r="P22" i="7"/>
  <c r="Q22" i="7" s="1"/>
  <c r="P11" i="7"/>
  <c r="Q11" i="7" s="1"/>
  <c r="P23" i="7"/>
  <c r="Q23" i="7" s="1"/>
  <c r="CD14" i="2"/>
  <c r="CE14" i="2" s="1"/>
  <c r="CD13" i="2"/>
  <c r="CE13" i="2" s="1"/>
  <c r="BX14" i="2"/>
  <c r="BY14" i="2" s="1"/>
  <c r="CD2" i="2"/>
  <c r="CE2" i="2" s="1"/>
  <c r="CD12" i="2"/>
  <c r="CE12" i="2" s="1"/>
  <c r="CD3" i="2"/>
  <c r="CE3" i="2" s="1"/>
  <c r="CD15" i="2"/>
  <c r="CE15" i="2" s="1"/>
  <c r="CD4" i="2"/>
  <c r="CE4" i="2" s="1"/>
  <c r="CD16" i="2"/>
  <c r="CE16" i="2" s="1"/>
  <c r="CD5" i="2"/>
  <c r="CE5" i="2" s="1"/>
  <c r="CD17" i="2"/>
  <c r="CE17" i="2" s="1"/>
  <c r="CD6" i="2"/>
  <c r="CE6" i="2" s="1"/>
  <c r="CD18" i="2"/>
  <c r="CE18" i="2" s="1"/>
  <c r="CD7" i="2"/>
  <c r="CE7" i="2" s="1"/>
  <c r="CD19" i="2"/>
  <c r="CE19" i="2" s="1"/>
  <c r="CD8" i="2"/>
  <c r="CE8" i="2" s="1"/>
  <c r="CD20" i="2"/>
  <c r="CE20" i="2" s="1"/>
  <c r="CD9" i="2"/>
  <c r="CE9" i="2" s="1"/>
  <c r="CD21" i="2"/>
  <c r="CE21" i="2" s="1"/>
  <c r="CD10" i="2"/>
  <c r="CE10" i="2" s="1"/>
  <c r="CD22" i="2"/>
  <c r="CE22" i="2" s="1"/>
  <c r="CD11" i="2"/>
  <c r="CE11" i="2" s="1"/>
  <c r="CD23" i="2"/>
  <c r="CE23" i="2" s="1"/>
  <c r="BX13" i="2"/>
  <c r="BY13" i="2" s="1"/>
  <c r="BR12" i="2"/>
  <c r="BS12" i="2" s="1"/>
  <c r="BX2" i="2"/>
  <c r="BY2" i="2" s="1"/>
  <c r="BX12" i="2"/>
  <c r="BY12" i="2" s="1"/>
  <c r="BX3" i="2"/>
  <c r="BY3" i="2" s="1"/>
  <c r="BX15" i="2"/>
  <c r="BY15" i="2" s="1"/>
  <c r="BX4" i="2"/>
  <c r="BY4" i="2" s="1"/>
  <c r="BX16" i="2"/>
  <c r="BY16" i="2" s="1"/>
  <c r="BX5" i="2"/>
  <c r="BY5" i="2" s="1"/>
  <c r="BX17" i="2"/>
  <c r="BY17" i="2" s="1"/>
  <c r="BX6" i="2"/>
  <c r="BY6" i="2" s="1"/>
  <c r="BX18" i="2"/>
  <c r="BY18" i="2" s="1"/>
  <c r="BX7" i="2"/>
  <c r="BY7" i="2" s="1"/>
  <c r="BX19" i="2"/>
  <c r="BY19" i="2" s="1"/>
  <c r="BX8" i="2"/>
  <c r="BY8" i="2" s="1"/>
  <c r="BX20" i="2"/>
  <c r="BY20" i="2" s="1"/>
  <c r="BX9" i="2"/>
  <c r="BY9" i="2" s="1"/>
  <c r="BX21" i="2"/>
  <c r="BY21" i="2" s="1"/>
  <c r="BX10" i="2"/>
  <c r="BY10" i="2" s="1"/>
  <c r="BX22" i="2"/>
  <c r="BY22" i="2" s="1"/>
  <c r="BX11" i="2"/>
  <c r="BY11" i="2" s="1"/>
  <c r="BX23" i="2"/>
  <c r="BY23" i="2" s="1"/>
  <c r="BR13" i="2"/>
  <c r="BS13" i="2" s="1"/>
  <c r="BL13" i="2"/>
  <c r="BM13" i="2" s="1"/>
  <c r="BR2" i="2"/>
  <c r="BS2" i="2" s="1"/>
  <c r="BR14" i="2"/>
  <c r="BS14" i="2" s="1"/>
  <c r="BR3" i="2"/>
  <c r="BS3" i="2" s="1"/>
  <c r="BR15" i="2"/>
  <c r="BS15" i="2" s="1"/>
  <c r="BR4" i="2"/>
  <c r="BS4" i="2" s="1"/>
  <c r="BR16" i="2"/>
  <c r="BS16" i="2" s="1"/>
  <c r="BR5" i="2"/>
  <c r="BS5" i="2" s="1"/>
  <c r="BR17" i="2"/>
  <c r="BS17" i="2" s="1"/>
  <c r="BR6" i="2"/>
  <c r="BS6" i="2" s="1"/>
  <c r="BR18" i="2"/>
  <c r="BS18" i="2" s="1"/>
  <c r="BR7" i="2"/>
  <c r="BS7" i="2" s="1"/>
  <c r="BR19" i="2"/>
  <c r="BS19" i="2" s="1"/>
  <c r="BR8" i="2"/>
  <c r="BS8" i="2" s="1"/>
  <c r="BR20" i="2"/>
  <c r="BS20" i="2" s="1"/>
  <c r="BR9" i="2"/>
  <c r="BS9" i="2" s="1"/>
  <c r="BR21" i="2"/>
  <c r="BS21" i="2" s="1"/>
  <c r="BR10" i="2"/>
  <c r="BS10" i="2" s="1"/>
  <c r="BR22" i="2"/>
  <c r="BS22" i="2" s="1"/>
  <c r="BR11" i="2"/>
  <c r="BS11" i="2" s="1"/>
  <c r="BR23" i="2"/>
  <c r="BS23" i="2" s="1"/>
  <c r="BL12" i="2"/>
  <c r="BM12" i="2" s="1"/>
  <c r="BF14" i="2"/>
  <c r="BG14" i="2" s="1"/>
  <c r="BL2" i="2"/>
  <c r="BM2" i="2" s="1"/>
  <c r="BL14" i="2"/>
  <c r="BM14" i="2" s="1"/>
  <c r="BL3" i="2"/>
  <c r="BM3" i="2" s="1"/>
  <c r="BL15" i="2"/>
  <c r="BM15" i="2" s="1"/>
  <c r="BL4" i="2"/>
  <c r="BM4" i="2" s="1"/>
  <c r="BL16" i="2"/>
  <c r="BM16" i="2" s="1"/>
  <c r="BL5" i="2"/>
  <c r="BM5" i="2" s="1"/>
  <c r="BL17" i="2"/>
  <c r="BM17" i="2" s="1"/>
  <c r="BL6" i="2"/>
  <c r="BM6" i="2" s="1"/>
  <c r="BL18" i="2"/>
  <c r="BM18" i="2" s="1"/>
  <c r="BL7" i="2"/>
  <c r="BM7" i="2" s="1"/>
  <c r="BL19" i="2"/>
  <c r="BM19" i="2" s="1"/>
  <c r="BL8" i="2"/>
  <c r="BM8" i="2" s="1"/>
  <c r="BL20" i="2"/>
  <c r="BM20" i="2" s="1"/>
  <c r="BL9" i="2"/>
  <c r="BM9" i="2" s="1"/>
  <c r="BL21" i="2"/>
  <c r="BM21" i="2" s="1"/>
  <c r="BL10" i="2"/>
  <c r="BM10" i="2" s="1"/>
  <c r="BL22" i="2"/>
  <c r="BM22" i="2" s="1"/>
  <c r="BL11" i="2"/>
  <c r="BM11" i="2" s="1"/>
  <c r="BL23" i="2"/>
  <c r="BM23" i="2" s="1"/>
  <c r="BF13" i="2"/>
  <c r="BG13" i="2" s="1"/>
  <c r="AZ13" i="2"/>
  <c r="BA13" i="2" s="1"/>
  <c r="BF12" i="2"/>
  <c r="BG12" i="2" s="1"/>
  <c r="BF2" i="2"/>
  <c r="BG2" i="2" s="1"/>
  <c r="BF3" i="2"/>
  <c r="BG3" i="2" s="1"/>
  <c r="BF15" i="2"/>
  <c r="BG15" i="2" s="1"/>
  <c r="BF4" i="2"/>
  <c r="BG4" i="2" s="1"/>
  <c r="BF16" i="2"/>
  <c r="BG16" i="2" s="1"/>
  <c r="BF5" i="2"/>
  <c r="BG5" i="2" s="1"/>
  <c r="BF17" i="2"/>
  <c r="BG17" i="2" s="1"/>
  <c r="BF6" i="2"/>
  <c r="BG6" i="2" s="1"/>
  <c r="BF18" i="2"/>
  <c r="BG18" i="2" s="1"/>
  <c r="BF7" i="2"/>
  <c r="BG7" i="2" s="1"/>
  <c r="BF19" i="2"/>
  <c r="BG19" i="2" s="1"/>
  <c r="BF8" i="2"/>
  <c r="BG8" i="2" s="1"/>
  <c r="BF20" i="2"/>
  <c r="BG20" i="2" s="1"/>
  <c r="BF9" i="2"/>
  <c r="BG9" i="2" s="1"/>
  <c r="BF21" i="2"/>
  <c r="BG21" i="2" s="1"/>
  <c r="BF10" i="2"/>
  <c r="BG10" i="2" s="1"/>
  <c r="BF22" i="2"/>
  <c r="BG22" i="2" s="1"/>
  <c r="BF11" i="2"/>
  <c r="BG11" i="2" s="1"/>
  <c r="BF23" i="2"/>
  <c r="BG23" i="2" s="1"/>
  <c r="AZ12" i="2"/>
  <c r="BA12" i="2" s="1"/>
  <c r="AT13" i="2"/>
  <c r="AU13" i="2" s="1"/>
  <c r="AZ2" i="2"/>
  <c r="BA2" i="2" s="1"/>
  <c r="AZ14" i="2"/>
  <c r="BA14" i="2" s="1"/>
  <c r="AZ3" i="2"/>
  <c r="BA3" i="2" s="1"/>
  <c r="AZ15" i="2"/>
  <c r="BA15" i="2" s="1"/>
  <c r="AZ4" i="2"/>
  <c r="BA4" i="2" s="1"/>
  <c r="AZ16" i="2"/>
  <c r="BA16" i="2" s="1"/>
  <c r="AZ5" i="2"/>
  <c r="BA5" i="2" s="1"/>
  <c r="AZ17" i="2"/>
  <c r="BA17" i="2" s="1"/>
  <c r="AZ6" i="2"/>
  <c r="BA6" i="2" s="1"/>
  <c r="AZ18" i="2"/>
  <c r="BA18" i="2" s="1"/>
  <c r="AZ7" i="2"/>
  <c r="BA7" i="2" s="1"/>
  <c r="AZ19" i="2"/>
  <c r="BA19" i="2" s="1"/>
  <c r="AZ8" i="2"/>
  <c r="BA8" i="2" s="1"/>
  <c r="AZ20" i="2"/>
  <c r="BA20" i="2" s="1"/>
  <c r="AZ9" i="2"/>
  <c r="BA9" i="2" s="1"/>
  <c r="AZ21" i="2"/>
  <c r="BA21" i="2" s="1"/>
  <c r="AZ10" i="2"/>
  <c r="BA10" i="2" s="1"/>
  <c r="AZ22" i="2"/>
  <c r="BA22" i="2" s="1"/>
  <c r="AZ11" i="2"/>
  <c r="BA11" i="2" s="1"/>
  <c r="AZ23" i="2"/>
  <c r="BA23" i="2" s="1"/>
  <c r="AT12" i="2"/>
  <c r="AU12" i="2" s="1"/>
  <c r="AN16" i="2"/>
  <c r="AO16" i="2" s="1"/>
  <c r="AT2" i="2"/>
  <c r="AU2" i="2" s="1"/>
  <c r="AT14" i="2"/>
  <c r="AU14" i="2" s="1"/>
  <c r="AT3" i="2"/>
  <c r="AU3" i="2" s="1"/>
  <c r="AT15" i="2"/>
  <c r="AU15" i="2" s="1"/>
  <c r="AT4" i="2"/>
  <c r="AU4" i="2" s="1"/>
  <c r="AT16" i="2"/>
  <c r="AU16" i="2" s="1"/>
  <c r="AT5" i="2"/>
  <c r="AU5" i="2" s="1"/>
  <c r="AT17" i="2"/>
  <c r="AU17" i="2" s="1"/>
  <c r="AT6" i="2"/>
  <c r="AU6" i="2" s="1"/>
  <c r="AT18" i="2"/>
  <c r="AU18" i="2" s="1"/>
  <c r="AT7" i="2"/>
  <c r="AU7" i="2" s="1"/>
  <c r="AT19" i="2"/>
  <c r="AU19" i="2" s="1"/>
  <c r="AT8" i="2"/>
  <c r="AU8" i="2" s="1"/>
  <c r="AT20" i="2"/>
  <c r="AU20" i="2" s="1"/>
  <c r="AT9" i="2"/>
  <c r="AU9" i="2" s="1"/>
  <c r="AT21" i="2"/>
  <c r="AU21" i="2" s="1"/>
  <c r="AT10" i="2"/>
  <c r="AU10" i="2" s="1"/>
  <c r="AT22" i="2"/>
  <c r="AU22" i="2" s="1"/>
  <c r="AT11" i="2"/>
  <c r="AU11" i="2" s="1"/>
  <c r="AT23" i="2"/>
  <c r="AU23" i="2" s="1"/>
  <c r="AN15" i="2"/>
  <c r="AO15" i="2" s="1"/>
  <c r="AH13" i="2"/>
  <c r="AI13" i="2" s="1"/>
  <c r="AN3" i="2"/>
  <c r="AO3" i="2" s="1"/>
  <c r="AN4" i="2"/>
  <c r="AO4" i="2" s="1"/>
  <c r="AN13" i="2"/>
  <c r="AO13" i="2" s="1"/>
  <c r="AN12" i="2"/>
  <c r="AO12" i="2" s="1"/>
  <c r="AN2" i="2"/>
  <c r="AO2" i="2" s="1"/>
  <c r="AN14" i="2"/>
  <c r="AO14" i="2" s="1"/>
  <c r="AN5" i="2"/>
  <c r="AO5" i="2" s="1"/>
  <c r="AN17" i="2"/>
  <c r="AO17" i="2" s="1"/>
  <c r="AN6" i="2"/>
  <c r="AO6" i="2" s="1"/>
  <c r="AN18" i="2"/>
  <c r="AO18" i="2" s="1"/>
  <c r="AN7" i="2"/>
  <c r="AO7" i="2" s="1"/>
  <c r="AN19" i="2"/>
  <c r="AO19" i="2" s="1"/>
  <c r="AN8" i="2"/>
  <c r="AO8" i="2" s="1"/>
  <c r="AN20" i="2"/>
  <c r="AO20" i="2" s="1"/>
  <c r="AN9" i="2"/>
  <c r="AO9" i="2" s="1"/>
  <c r="AN21" i="2"/>
  <c r="AO21" i="2" s="1"/>
  <c r="AN10" i="2"/>
  <c r="AO10" i="2" s="1"/>
  <c r="AN22" i="2"/>
  <c r="AO22" i="2" s="1"/>
  <c r="AN11" i="2"/>
  <c r="AO11" i="2" s="1"/>
  <c r="AN23" i="2"/>
  <c r="AO23" i="2" s="1"/>
  <c r="AB13" i="2"/>
  <c r="AC13" i="2" s="1"/>
  <c r="AH12" i="2"/>
  <c r="AI12" i="2" s="1"/>
  <c r="AH2" i="2"/>
  <c r="AI2" i="2" s="1"/>
  <c r="AH14" i="2"/>
  <c r="AI14" i="2" s="1"/>
  <c r="AH3" i="2"/>
  <c r="AI3" i="2" s="1"/>
  <c r="AH15" i="2"/>
  <c r="AI15" i="2" s="1"/>
  <c r="AH4" i="2"/>
  <c r="AI4" i="2" s="1"/>
  <c r="AH16" i="2"/>
  <c r="AI16" i="2" s="1"/>
  <c r="AH5" i="2"/>
  <c r="AI5" i="2" s="1"/>
  <c r="AH17" i="2"/>
  <c r="AI17" i="2" s="1"/>
  <c r="AH6" i="2"/>
  <c r="AI6" i="2" s="1"/>
  <c r="AH18" i="2"/>
  <c r="AI18" i="2" s="1"/>
  <c r="AH7" i="2"/>
  <c r="AI7" i="2" s="1"/>
  <c r="AH19" i="2"/>
  <c r="AI19" i="2" s="1"/>
  <c r="AH8" i="2"/>
  <c r="AI8" i="2" s="1"/>
  <c r="AH20" i="2"/>
  <c r="AI20" i="2" s="1"/>
  <c r="AH9" i="2"/>
  <c r="AI9" i="2" s="1"/>
  <c r="AH21" i="2"/>
  <c r="AI21" i="2" s="1"/>
  <c r="AH10" i="2"/>
  <c r="AI10" i="2" s="1"/>
  <c r="AH22" i="2"/>
  <c r="AI22" i="2" s="1"/>
  <c r="AH11" i="2"/>
  <c r="AI11" i="2" s="1"/>
  <c r="AH23" i="2"/>
  <c r="AI23" i="2" s="1"/>
  <c r="V13" i="2"/>
  <c r="W13" i="2" s="1"/>
  <c r="AB12" i="2"/>
  <c r="AC12" i="2" s="1"/>
  <c r="AB2" i="2"/>
  <c r="AC2" i="2" s="1"/>
  <c r="AB14" i="2"/>
  <c r="AC14" i="2" s="1"/>
  <c r="AB3" i="2"/>
  <c r="AC3" i="2" s="1"/>
  <c r="AB15" i="2"/>
  <c r="AC15" i="2" s="1"/>
  <c r="AB4" i="2"/>
  <c r="AC4" i="2" s="1"/>
  <c r="AB16" i="2"/>
  <c r="AC16" i="2" s="1"/>
  <c r="AB5" i="2"/>
  <c r="AC5" i="2" s="1"/>
  <c r="AB17" i="2"/>
  <c r="AC17" i="2" s="1"/>
  <c r="AB6" i="2"/>
  <c r="AC6" i="2" s="1"/>
  <c r="AB18" i="2"/>
  <c r="AC18" i="2" s="1"/>
  <c r="AB7" i="2"/>
  <c r="AC7" i="2" s="1"/>
  <c r="AB19" i="2"/>
  <c r="AC19" i="2" s="1"/>
  <c r="AB8" i="2"/>
  <c r="AC8" i="2" s="1"/>
  <c r="AB20" i="2"/>
  <c r="AC20" i="2" s="1"/>
  <c r="AB9" i="2"/>
  <c r="AC9" i="2" s="1"/>
  <c r="AB21" i="2"/>
  <c r="AC21" i="2" s="1"/>
  <c r="AB10" i="2"/>
  <c r="AC10" i="2" s="1"/>
  <c r="AB22" i="2"/>
  <c r="AC22" i="2" s="1"/>
  <c r="AB11" i="2"/>
  <c r="AC11" i="2" s="1"/>
  <c r="AB23" i="2"/>
  <c r="AC23" i="2" s="1"/>
  <c r="P14" i="2"/>
  <c r="Q14" i="2" s="1"/>
  <c r="P13" i="2"/>
  <c r="Q13" i="2" s="1"/>
  <c r="V12" i="2"/>
  <c r="W12" i="2" s="1"/>
  <c r="V2" i="2"/>
  <c r="W2" i="2" s="1"/>
  <c r="V14" i="2"/>
  <c r="W14" i="2" s="1"/>
  <c r="V3" i="2"/>
  <c r="W3" i="2" s="1"/>
  <c r="V15" i="2"/>
  <c r="W15" i="2" s="1"/>
  <c r="V4" i="2"/>
  <c r="W4" i="2" s="1"/>
  <c r="V16" i="2"/>
  <c r="W16" i="2" s="1"/>
  <c r="V5" i="2"/>
  <c r="W5" i="2" s="1"/>
  <c r="V17" i="2"/>
  <c r="W17" i="2" s="1"/>
  <c r="V6" i="2"/>
  <c r="W6" i="2" s="1"/>
  <c r="V18" i="2"/>
  <c r="W18" i="2" s="1"/>
  <c r="V7" i="2"/>
  <c r="W7" i="2" s="1"/>
  <c r="V19" i="2"/>
  <c r="W19" i="2" s="1"/>
  <c r="V8" i="2"/>
  <c r="W8" i="2" s="1"/>
  <c r="V20" i="2"/>
  <c r="W20" i="2" s="1"/>
  <c r="V9" i="2"/>
  <c r="W9" i="2" s="1"/>
  <c r="V21" i="2"/>
  <c r="W21" i="2" s="1"/>
  <c r="V10" i="2"/>
  <c r="W10" i="2" s="1"/>
  <c r="V22" i="2"/>
  <c r="W22" i="2" s="1"/>
  <c r="V11" i="2"/>
  <c r="W11" i="2" s="1"/>
  <c r="V23" i="2"/>
  <c r="W23" i="2" s="1"/>
  <c r="P2" i="2"/>
  <c r="Q2" i="2" s="1"/>
  <c r="P12" i="2"/>
  <c r="Q12" i="2" s="1"/>
  <c r="P3" i="2"/>
  <c r="Q3" i="2" s="1"/>
  <c r="P15" i="2"/>
  <c r="Q15" i="2" s="1"/>
  <c r="P4" i="2"/>
  <c r="Q4" i="2" s="1"/>
  <c r="P16" i="2"/>
  <c r="Q16" i="2" s="1"/>
  <c r="P5" i="2"/>
  <c r="Q5" i="2" s="1"/>
  <c r="P17" i="2"/>
  <c r="Q17" i="2" s="1"/>
  <c r="P6" i="2"/>
  <c r="Q6" i="2" s="1"/>
  <c r="P18" i="2"/>
  <c r="Q18" i="2" s="1"/>
  <c r="P7" i="2"/>
  <c r="Q7" i="2" s="1"/>
  <c r="P19" i="2"/>
  <c r="Q19" i="2" s="1"/>
  <c r="P8" i="2"/>
  <c r="Q8" i="2" s="1"/>
  <c r="P20" i="2"/>
  <c r="Q20" i="2" s="1"/>
  <c r="P9" i="2"/>
  <c r="Q9" i="2" s="1"/>
  <c r="P21" i="2"/>
  <c r="Q21" i="2" s="1"/>
  <c r="P10" i="2"/>
  <c r="Q10" i="2" s="1"/>
  <c r="P22" i="2"/>
  <c r="Q22" i="2" s="1"/>
  <c r="P11" i="2"/>
  <c r="Q11" i="2" s="1"/>
  <c r="P23" i="2"/>
  <c r="Q23" i="2" s="1"/>
  <c r="D46" i="16"/>
  <c r="D45" i="16"/>
  <c r="D44" i="16"/>
  <c r="D43" i="16"/>
  <c r="D42" i="16"/>
  <c r="D34" i="16"/>
  <c r="D33" i="16"/>
  <c r="D32" i="16"/>
  <c r="D31" i="16"/>
  <c r="D30" i="16"/>
  <c r="D29" i="16"/>
  <c r="H21" i="16"/>
  <c r="F21" i="16"/>
  <c r="D21" i="16"/>
  <c r="H20" i="16"/>
  <c r="F20" i="16"/>
  <c r="D20" i="16"/>
  <c r="H19" i="16"/>
  <c r="F19" i="16"/>
  <c r="D19" i="16"/>
  <c r="H18" i="16"/>
  <c r="F18" i="16"/>
  <c r="D18" i="16"/>
  <c r="H17" i="16"/>
  <c r="F17" i="16"/>
  <c r="D17" i="16"/>
  <c r="H16" i="16"/>
  <c r="F16" i="16"/>
  <c r="D16" i="16"/>
  <c r="D146" i="14"/>
  <c r="D145" i="14"/>
  <c r="D144" i="14"/>
  <c r="D143" i="14"/>
  <c r="D142" i="14"/>
  <c r="D141" i="14"/>
  <c r="D140" i="14"/>
  <c r="D139" i="14"/>
  <c r="D138" i="14"/>
  <c r="D137" i="14"/>
  <c r="D136" i="14"/>
  <c r="D135" i="14"/>
  <c r="D134" i="14"/>
  <c r="D133" i="14"/>
  <c r="D132" i="14"/>
  <c r="D131" i="14"/>
  <c r="D130" i="14"/>
  <c r="D129" i="14"/>
  <c r="D128" i="14"/>
  <c r="D127" i="14"/>
  <c r="D126" i="14"/>
  <c r="D125" i="14"/>
  <c r="D124" i="14"/>
  <c r="D123" i="14"/>
  <c r="D122" i="14"/>
  <c r="D121" i="14"/>
  <c r="D120" i="14"/>
  <c r="D119" i="14"/>
  <c r="D118" i="14"/>
  <c r="D117" i="14"/>
  <c r="D116" i="14"/>
  <c r="D115" i="14"/>
  <c r="D114" i="14"/>
  <c r="D113" i="14"/>
  <c r="D112" i="14"/>
  <c r="D111" i="14"/>
  <c r="D110" i="14"/>
  <c r="D109" i="14"/>
  <c r="D108" i="14"/>
  <c r="D107" i="14"/>
  <c r="D106" i="14"/>
  <c r="D105" i="14"/>
  <c r="D104" i="14"/>
  <c r="D103" i="14"/>
  <c r="D102" i="14"/>
  <c r="D101" i="14"/>
  <c r="D100" i="14"/>
  <c r="D99" i="14"/>
  <c r="D98" i="14"/>
  <c r="D97" i="14"/>
  <c r="D96" i="14"/>
  <c r="D95" i="14"/>
  <c r="D94" i="14"/>
  <c r="D93" i="14"/>
  <c r="D92" i="14"/>
  <c r="D91" i="14"/>
  <c r="D90" i="14"/>
  <c r="D89" i="14"/>
  <c r="D88" i="14"/>
  <c r="D87" i="14"/>
  <c r="D86" i="14"/>
  <c r="D85" i="14"/>
  <c r="D84" i="14"/>
  <c r="D83" i="14"/>
  <c r="D82" i="14"/>
  <c r="D81" i="14"/>
  <c r="D80" i="14"/>
  <c r="D79" i="14"/>
  <c r="D78" i="14"/>
  <c r="D77" i="14"/>
  <c r="D76" i="14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G183" i="13"/>
  <c r="D183" i="13"/>
  <c r="G182" i="13"/>
  <c r="D182" i="13"/>
  <c r="G181" i="13"/>
  <c r="D181" i="13"/>
  <c r="G180" i="13"/>
  <c r="D180" i="13"/>
  <c r="G179" i="13"/>
  <c r="D179" i="13"/>
  <c r="G178" i="13"/>
  <c r="D178" i="13"/>
  <c r="G177" i="13"/>
  <c r="D177" i="13"/>
  <c r="G176" i="13"/>
  <c r="D176" i="13"/>
  <c r="G175" i="13"/>
  <c r="D175" i="13"/>
  <c r="G174" i="13"/>
  <c r="D174" i="13"/>
  <c r="G173" i="13"/>
  <c r="D173" i="13"/>
  <c r="G172" i="13"/>
  <c r="D172" i="13"/>
  <c r="G171" i="13"/>
  <c r="D171" i="13"/>
  <c r="G170" i="13"/>
  <c r="D170" i="13"/>
  <c r="G169" i="13"/>
  <c r="D169" i="13"/>
  <c r="G168" i="13"/>
  <c r="D168" i="13"/>
  <c r="G167" i="13"/>
  <c r="D167" i="13"/>
  <c r="G166" i="13"/>
  <c r="D166" i="13"/>
  <c r="G165" i="13"/>
  <c r="D165" i="13"/>
  <c r="G164" i="13"/>
  <c r="D164" i="13"/>
  <c r="G163" i="13"/>
  <c r="D163" i="13"/>
  <c r="G162" i="13"/>
  <c r="D162" i="13"/>
  <c r="G161" i="13"/>
  <c r="D161" i="13"/>
  <c r="G160" i="13"/>
  <c r="D160" i="13"/>
  <c r="G159" i="13"/>
  <c r="D159" i="13"/>
  <c r="G158" i="13"/>
  <c r="D158" i="13"/>
  <c r="G157" i="13"/>
  <c r="D157" i="13"/>
  <c r="G156" i="13"/>
  <c r="D156" i="13"/>
  <c r="G155" i="13"/>
  <c r="D155" i="13"/>
  <c r="G154" i="13"/>
  <c r="D154" i="13"/>
  <c r="G153" i="13"/>
  <c r="D153" i="13"/>
  <c r="G152" i="13"/>
  <c r="D152" i="13"/>
  <c r="G151" i="13"/>
  <c r="D151" i="13"/>
  <c r="G150" i="13"/>
  <c r="D150" i="13"/>
  <c r="G149" i="13"/>
  <c r="D149" i="13"/>
  <c r="G148" i="13"/>
  <c r="D148" i="13"/>
  <c r="G147" i="13"/>
  <c r="D147" i="13"/>
  <c r="G146" i="13"/>
  <c r="D146" i="13"/>
  <c r="G145" i="13"/>
  <c r="D145" i="13"/>
  <c r="G144" i="13"/>
  <c r="D144" i="13"/>
  <c r="G143" i="13"/>
  <c r="D143" i="13"/>
  <c r="G142" i="13"/>
  <c r="D142" i="13"/>
  <c r="G141" i="13"/>
  <c r="D141" i="13"/>
  <c r="G140" i="13"/>
  <c r="D140" i="13"/>
  <c r="G139" i="13"/>
  <c r="D139" i="13"/>
  <c r="G138" i="13"/>
  <c r="D138" i="13"/>
  <c r="G137" i="13"/>
  <c r="D137" i="13"/>
  <c r="G136" i="13"/>
  <c r="D136" i="13"/>
  <c r="G135" i="13"/>
  <c r="D135" i="13"/>
  <c r="G134" i="13"/>
  <c r="D134" i="13"/>
  <c r="G133" i="13"/>
  <c r="D133" i="13"/>
  <c r="G132" i="13"/>
  <c r="D132" i="13"/>
  <c r="G131" i="13"/>
  <c r="D131" i="13"/>
  <c r="G130" i="13"/>
  <c r="D130" i="13"/>
  <c r="G129" i="13"/>
  <c r="D129" i="13"/>
  <c r="G128" i="13"/>
  <c r="D128" i="13"/>
  <c r="G127" i="13"/>
  <c r="D127" i="13"/>
  <c r="G126" i="13"/>
  <c r="D126" i="13"/>
  <c r="G125" i="13"/>
  <c r="D125" i="13"/>
  <c r="G124" i="13"/>
  <c r="D124" i="13"/>
  <c r="G123" i="13"/>
  <c r="D123" i="13"/>
  <c r="G122" i="13"/>
  <c r="D122" i="13"/>
  <c r="G121" i="13"/>
  <c r="D121" i="13"/>
  <c r="G120" i="13"/>
  <c r="D120" i="13"/>
  <c r="G119" i="13"/>
  <c r="D119" i="13"/>
  <c r="G118" i="13"/>
  <c r="D118" i="13"/>
  <c r="G117" i="13"/>
  <c r="D117" i="13"/>
  <c r="G116" i="13"/>
  <c r="D116" i="13"/>
  <c r="G115" i="13"/>
  <c r="D115" i="13"/>
  <c r="G114" i="13"/>
  <c r="D114" i="13"/>
  <c r="G113" i="13"/>
  <c r="D113" i="13"/>
  <c r="G112" i="13"/>
  <c r="D112" i="13"/>
  <c r="G111" i="13"/>
  <c r="D111" i="13"/>
  <c r="G110" i="13"/>
  <c r="D110" i="13"/>
  <c r="G109" i="13"/>
  <c r="D109" i="13"/>
  <c r="G108" i="13"/>
  <c r="D108" i="13"/>
  <c r="G107" i="13"/>
  <c r="D107" i="13"/>
  <c r="G106" i="13"/>
  <c r="D106" i="13"/>
  <c r="G105" i="13"/>
  <c r="D105" i="13"/>
  <c r="G104" i="13"/>
  <c r="D104" i="13"/>
  <c r="G103" i="13"/>
  <c r="D103" i="13"/>
  <c r="G102" i="13"/>
  <c r="D102" i="13"/>
  <c r="G101" i="13"/>
  <c r="D101" i="13"/>
  <c r="G100" i="13"/>
  <c r="D100" i="13"/>
  <c r="G99" i="13"/>
  <c r="D99" i="13"/>
  <c r="G98" i="13"/>
  <c r="D98" i="13"/>
  <c r="G97" i="13"/>
  <c r="D97" i="13"/>
  <c r="G96" i="13"/>
  <c r="D96" i="13"/>
  <c r="G95" i="13"/>
  <c r="D95" i="13"/>
  <c r="G94" i="13"/>
  <c r="D94" i="13"/>
  <c r="G93" i="13"/>
  <c r="D93" i="13"/>
  <c r="G92" i="13"/>
  <c r="D92" i="13"/>
  <c r="G91" i="13"/>
  <c r="D91" i="13"/>
  <c r="G90" i="13"/>
  <c r="D90" i="13"/>
  <c r="G89" i="13"/>
  <c r="D89" i="13"/>
  <c r="G88" i="13"/>
  <c r="D88" i="13"/>
  <c r="G87" i="13"/>
  <c r="D87" i="13"/>
  <c r="G86" i="13"/>
  <c r="D86" i="13"/>
  <c r="G85" i="13"/>
  <c r="D85" i="13"/>
  <c r="G84" i="13"/>
  <c r="D84" i="13"/>
  <c r="G83" i="13"/>
  <c r="D83" i="13"/>
  <c r="G82" i="13"/>
  <c r="D82" i="13"/>
  <c r="G81" i="13"/>
  <c r="D81" i="13"/>
  <c r="G80" i="13"/>
  <c r="D80" i="13"/>
  <c r="G79" i="13"/>
  <c r="D79" i="13"/>
  <c r="G78" i="13"/>
  <c r="D78" i="13"/>
  <c r="G77" i="13"/>
  <c r="D77" i="13"/>
  <c r="G76" i="13"/>
  <c r="D76" i="13"/>
  <c r="G75" i="13"/>
  <c r="D75" i="13"/>
  <c r="G74" i="13"/>
  <c r="D74" i="13"/>
  <c r="G73" i="13"/>
  <c r="D73" i="13"/>
  <c r="G72" i="13"/>
  <c r="D72" i="13"/>
  <c r="G71" i="13"/>
  <c r="D71" i="13"/>
  <c r="G70" i="13"/>
  <c r="D70" i="13"/>
  <c r="G69" i="13"/>
  <c r="D69" i="13"/>
  <c r="G68" i="13"/>
  <c r="D68" i="13"/>
  <c r="G67" i="13"/>
  <c r="D67" i="13"/>
  <c r="G66" i="13"/>
  <c r="D66" i="13"/>
  <c r="G65" i="13"/>
  <c r="D65" i="13"/>
  <c r="G64" i="13"/>
  <c r="D64" i="13"/>
  <c r="G63" i="13"/>
  <c r="D63" i="13"/>
  <c r="G62" i="13"/>
  <c r="D62" i="13"/>
  <c r="G61" i="13"/>
  <c r="D61" i="13"/>
  <c r="G60" i="13"/>
  <c r="D60" i="13"/>
  <c r="G59" i="13"/>
  <c r="D59" i="13"/>
  <c r="G58" i="13"/>
  <c r="D58" i="13"/>
  <c r="G57" i="13"/>
  <c r="D57" i="13"/>
  <c r="G56" i="13"/>
  <c r="D56" i="13"/>
  <c r="G55" i="13"/>
  <c r="D55" i="13"/>
  <c r="G54" i="13"/>
  <c r="D54" i="13"/>
  <c r="G53" i="13"/>
  <c r="D53" i="13"/>
  <c r="G52" i="13"/>
  <c r="D52" i="13"/>
  <c r="G51" i="13"/>
  <c r="D51" i="13"/>
  <c r="G50" i="13"/>
  <c r="D50" i="13"/>
  <c r="G49" i="13"/>
  <c r="D49" i="13"/>
  <c r="G48" i="13"/>
  <c r="D48" i="13"/>
  <c r="G47" i="13"/>
  <c r="D47" i="13"/>
  <c r="G46" i="13"/>
  <c r="D46" i="13"/>
  <c r="G45" i="13"/>
  <c r="D45" i="13"/>
  <c r="G44" i="13"/>
  <c r="D44" i="13"/>
  <c r="G43" i="13"/>
  <c r="D43" i="13"/>
  <c r="G42" i="13"/>
  <c r="D42" i="13"/>
  <c r="G41" i="13"/>
  <c r="D41" i="13"/>
  <c r="G40" i="13"/>
  <c r="D40" i="13"/>
  <c r="G39" i="13"/>
  <c r="D39" i="13"/>
  <c r="G38" i="13"/>
  <c r="D38" i="13"/>
  <c r="G37" i="13"/>
  <c r="D37" i="13"/>
  <c r="G36" i="13"/>
  <c r="D36" i="13"/>
  <c r="G35" i="13"/>
  <c r="D35" i="13"/>
  <c r="G34" i="13"/>
  <c r="D34" i="13"/>
  <c r="G33" i="13"/>
  <c r="D33" i="13"/>
  <c r="G32" i="13"/>
  <c r="D32" i="13"/>
  <c r="G31" i="13"/>
  <c r="D31" i="13"/>
  <c r="G30" i="13"/>
  <c r="D30" i="13"/>
  <c r="G29" i="13"/>
  <c r="D29" i="13"/>
  <c r="G28" i="13"/>
  <c r="D28" i="13"/>
  <c r="G27" i="13"/>
  <c r="D27" i="13"/>
  <c r="G26" i="13"/>
  <c r="D26" i="13"/>
  <c r="G25" i="13"/>
  <c r="D25" i="13"/>
  <c r="G24" i="13"/>
  <c r="D24" i="13"/>
  <c r="G23" i="13"/>
  <c r="D23" i="13"/>
  <c r="G22" i="13"/>
  <c r="D22" i="13"/>
  <c r="G21" i="13"/>
  <c r="D21" i="13"/>
  <c r="G20" i="13"/>
  <c r="D20" i="13"/>
  <c r="G19" i="13"/>
  <c r="D19" i="13"/>
</calcChain>
</file>

<file path=xl/sharedStrings.xml><?xml version="1.0" encoding="utf-8"?>
<sst xmlns="http://schemas.openxmlformats.org/spreadsheetml/2006/main" count="8195" uniqueCount="541">
  <si>
    <t>Description</t>
  </si>
  <si>
    <t>Tactic Code</t>
  </si>
  <si>
    <t>COLUMVI.COM_DTP_UNBRANDED PAID SEARCH_GOOGLE</t>
  </si>
  <si>
    <t>gft-18903220006</t>
  </si>
  <si>
    <t>COLUMVI.COM_DTP_UNBRANDED PAID SEARCH_BING</t>
  </si>
  <si>
    <t>gft-1890321fc12</t>
  </si>
  <si>
    <t>Submission Campaign Name</t>
  </si>
  <si>
    <t>Campaign</t>
  </si>
  <si>
    <t>Ad Group</t>
  </si>
  <si>
    <t>Submission Ad Group Name</t>
  </si>
  <si>
    <t>Headline 1</t>
  </si>
  <si>
    <t>Headline 1 position</t>
  </si>
  <si>
    <t>Headline 2</t>
  </si>
  <si>
    <t>Headline 2 position</t>
  </si>
  <si>
    <t>Headline 3</t>
  </si>
  <si>
    <t>Headline 3 position</t>
  </si>
  <si>
    <t>Headline 4</t>
  </si>
  <si>
    <t>Headline 4 position</t>
  </si>
  <si>
    <t>Headline 5</t>
  </si>
  <si>
    <t>Headline 5 position</t>
  </si>
  <si>
    <t>Headline 6</t>
  </si>
  <si>
    <t>Headline 6 position</t>
  </si>
  <si>
    <t>Headline 7</t>
  </si>
  <si>
    <t>Headline 7 position</t>
  </si>
  <si>
    <t>Headline 8</t>
  </si>
  <si>
    <t>Headline 8 position</t>
  </si>
  <si>
    <t>Headline 9</t>
  </si>
  <si>
    <t>Headline 9 position</t>
  </si>
  <si>
    <t>Headline 10</t>
  </si>
  <si>
    <t>Headline 10 position</t>
  </si>
  <si>
    <t>Headline 11</t>
  </si>
  <si>
    <t>Headline 11 position</t>
  </si>
  <si>
    <t>Headline 12</t>
  </si>
  <si>
    <t>Headline 12 Position</t>
  </si>
  <si>
    <t>Headline 13</t>
  </si>
  <si>
    <t>Headline 13 Position</t>
  </si>
  <si>
    <t>Description 1</t>
  </si>
  <si>
    <t>Description 1 position</t>
  </si>
  <si>
    <t>Description 2</t>
  </si>
  <si>
    <t>Description 2 position</t>
  </si>
  <si>
    <t>Description 3</t>
  </si>
  <si>
    <t>Description 3 position</t>
  </si>
  <si>
    <t>Description 4</t>
  </si>
  <si>
    <t>Description 4 position</t>
  </si>
  <si>
    <t>Display URL</t>
  </si>
  <si>
    <t>Final URL</t>
  </si>
  <si>
    <t>Unbranded Condition</t>
  </si>
  <si>
    <t>GS - 2024_Unbranded Condition_Exact | Columvi | Patient | Unbranded | www.columvi.com | DLBCL | gft-18903220006</t>
  </si>
  <si>
    <t>GS_Unbranded Condition_EX</t>
  </si>
  <si>
    <t>Treatment Option For 3L+ DLBCL</t>
  </si>
  <si>
    <t>Download The Patient Brochure</t>
  </si>
  <si>
    <t>2 or 3</t>
  </si>
  <si>
    <t>Resources For Patients</t>
  </si>
  <si>
    <t>Financial Assistance Options</t>
  </si>
  <si>
    <t>Important Safety Information</t>
  </si>
  <si>
    <t>Questions To Ask Your Doctor</t>
  </si>
  <si>
    <t>DLBCL Infusion Therapy</t>
  </si>
  <si>
    <t>Clinical Trial Results</t>
  </si>
  <si>
    <t>Information For Patients</t>
  </si>
  <si>
    <t>Efficacy &amp; Safety Information</t>
  </si>
  <si>
    <t>About DLBCL</t>
  </si>
  <si>
    <t>3L+ DLBCL Treatment Support</t>
  </si>
  <si>
    <t>3L+ DLBCL Patient Resources</t>
  </si>
  <si>
    <t>Discover A Fixed-Duration Treatment Option For 3L+ DLBCL And View Important Safety Info.</t>
  </si>
  <si>
    <t>Any</t>
  </si>
  <si>
    <t>Download The Patient Brochure To Learn More About A DLBCL Fixed-Duration Treatment.</t>
  </si>
  <si>
    <t>Explore An Infusion Option For Diffuse Large B Cell Lymphoma &amp; View Clinical Results.</t>
  </si>
  <si>
    <t>Learn More About Starting Treatment For 3L+ DLBCL After Two Or More Prior Therapies</t>
  </si>
  <si>
    <t>Prescription Treatment Website</t>
  </si>
  <si>
    <t>https://www.columvi.com/about/what-is-DLBCL.html</t>
  </si>
  <si>
    <t>GS_Unbranded DLBCL Causes_EX</t>
  </si>
  <si>
    <t>Unbranded DLBCL Causes</t>
  </si>
  <si>
    <t>Diffuse Large B-Cell Lymphoma</t>
  </si>
  <si>
    <t>DLBCL Clinical Study Data</t>
  </si>
  <si>
    <t>Learn More About Starting Treatment For 3L+ DLBCL After Two Or More Prior Therapies.</t>
  </si>
  <si>
    <t>GS_Unbranded DLBCL Diagnosis_EX</t>
  </si>
  <si>
    <t>Unbranded DLBCL Diagnosis</t>
  </si>
  <si>
    <t>GS_Unbranded DLBCL Resources_EX</t>
  </si>
  <si>
    <t>Unbranded DLBCL Resources</t>
  </si>
  <si>
    <t>Downloadable Resources</t>
  </si>
  <si>
    <t>Infusion Information Sheet</t>
  </si>
  <si>
    <t>https://www.columvi.com/resources/helpful-links.html</t>
  </si>
  <si>
    <t>GS_Unbranded DLBCL Financial Support_EX</t>
  </si>
  <si>
    <t>Unbranded DLBCL Financial Support</t>
  </si>
  <si>
    <t>Financial Assistance Tool</t>
  </si>
  <si>
    <t>DLBCL Financial Support Info</t>
  </si>
  <si>
    <t>Apply For Financial Support</t>
  </si>
  <si>
    <t>Use The Financial Assistance Tool To See Which Programs May Be Right For You.</t>
  </si>
  <si>
    <t>https://www.columvi.com/financial-support/assistance-options.html</t>
  </si>
  <si>
    <t>GS_Unbranded DLBCL Results_EX</t>
  </si>
  <si>
    <t>Unbranded DLBCL Results</t>
  </si>
  <si>
    <t>https://www.columvi.com/columvi-results/clinical-trial-results.html</t>
  </si>
  <si>
    <t>Unbranded Treatment</t>
  </si>
  <si>
    <t>GS - 2024_Unbranded Treatment_Exact | Columvi | Patient | Unbranded | www.columvi.com | DLBCL | gft-18903220006</t>
  </si>
  <si>
    <t>GS_Unbranded DLBCL Developments_EX</t>
  </si>
  <si>
    <t>Unbranded DLBCL Developments</t>
  </si>
  <si>
    <t>https://www.columvi.com/about-columvi/how-it-works.html</t>
  </si>
  <si>
    <t>GS_Unbranded DLBCL Treatment_EX</t>
  </si>
  <si>
    <t>Unbranded DLBCL Treatment</t>
  </si>
  <si>
    <t>DLBCL Symptoms</t>
  </si>
  <si>
    <t>3L+ DLBCL Treatment Option</t>
  </si>
  <si>
    <t>https://www.columvi.com/about/treatment-goals-for-3l-dlbcl.html</t>
  </si>
  <si>
    <t>GS_Unbranded DLBCL Medication_EX</t>
  </si>
  <si>
    <t>Unbranded DLBCL Medication</t>
  </si>
  <si>
    <t>Medication For 3L+ DLBCL</t>
  </si>
  <si>
    <t>DLBCL Intravenous Infusion</t>
  </si>
  <si>
    <t>3L+ DLBCL Dosing Schedule Info</t>
  </si>
  <si>
    <t>https://www.columvi.com/starting-columvi/how-columvi-is-given.html</t>
  </si>
  <si>
    <t>GS_Unbranded DLBCL Therapy_EX</t>
  </si>
  <si>
    <t>Unbranded DLBCL Therapy</t>
  </si>
  <si>
    <t>Therapy Option For 3L+ DLBCL</t>
  </si>
  <si>
    <t>3L+ DLBCL Therapy Option</t>
  </si>
  <si>
    <t>GS_Unbranded DLBCL Dosing_EX</t>
  </si>
  <si>
    <t>Unbranded DLBCL Dosing</t>
  </si>
  <si>
    <t>GS - 2024_Unbranded Condition_Phrase | Columvi | Patient | Unbranded | www.columvi.com | DLBCL | gft-18903220006</t>
  </si>
  <si>
    <t>GS_Unbranded Condition_PH</t>
  </si>
  <si>
    <t>GS_Unbranded DLBCL Causes_PH</t>
  </si>
  <si>
    <t>GS_Unbranded DLBCL Diagnosis_PH</t>
  </si>
  <si>
    <t>GS_Unbranded DLBCL Resources_PH</t>
  </si>
  <si>
    <t>GS_Unbranded DLBCL Financial Support_PH</t>
  </si>
  <si>
    <t>GS_Unbranded DLBCL Results_PH</t>
  </si>
  <si>
    <t>GS - 2024_Unbranded Treatment_Phrase | Columvi | Patient | Unbranded | www.columvi.com | DLBCL | gft-18903220006</t>
  </si>
  <si>
    <t>GS_Unbranded DLBCL Developments_PH</t>
  </si>
  <si>
    <t>GS_Unbranded DLBCL Treatment_PH</t>
  </si>
  <si>
    <t>GS_Unbranded DLBCL Medication_PH</t>
  </si>
  <si>
    <t>GS_Unbranded DLBCL Therapy_PH</t>
  </si>
  <si>
    <t>GS_Unbranded DLBCL Dosing_PH</t>
  </si>
  <si>
    <t>Keyword</t>
  </si>
  <si>
    <t>Match Type</t>
  </si>
  <si>
    <t>Landing Page</t>
  </si>
  <si>
    <t>about large b cell lymphoma</t>
  </si>
  <si>
    <t>Exact</t>
  </si>
  <si>
    <t>https://www.columvi.com/about/what-is-DLBCL.html?c=gft-18903220006</t>
  </si>
  <si>
    <t>about dlbcl</t>
  </si>
  <si>
    <t>large b cell</t>
  </si>
  <si>
    <t>large b lymphoma</t>
  </si>
  <si>
    <t>large cell b lymphoma</t>
  </si>
  <si>
    <t>dlbcl</t>
  </si>
  <si>
    <t>dlbcl cancer</t>
  </si>
  <si>
    <t>dlbcl lymphoma</t>
  </si>
  <si>
    <t>lymphoma b</t>
  </si>
  <si>
    <t>type b lymphoma</t>
  </si>
  <si>
    <t>what is large b cell lymphoma</t>
  </si>
  <si>
    <t>what is dlbcl</t>
  </si>
  <si>
    <t>b cell large diffuse</t>
  </si>
  <si>
    <t>lymphoma and large b cell</t>
  </si>
  <si>
    <t>diffuse large b cell lymphoma</t>
  </si>
  <si>
    <t>dlbcl fda approval</t>
  </si>
  <si>
    <t>dlbcl treatment fda approval</t>
  </si>
  <si>
    <t>r/r dlbcl</t>
  </si>
  <si>
    <t>relapsed or refractory dlbcl</t>
  </si>
  <si>
    <t>relapsed or refractory diffuse large b cell lymphoma</t>
  </si>
  <si>
    <t>lbcl</t>
  </si>
  <si>
    <t>what is the difference between relapsed and refractory dlbcl</t>
  </si>
  <si>
    <t>what is relapsed or refractory dlbcl</t>
  </si>
  <si>
    <t>relapsed refractory large b cell lymphoma</t>
  </si>
  <si>
    <t>types of relapsed refractory large b cell lymphoma</t>
  </si>
  <si>
    <t>about relapsed refractory large b cell lymphoma</t>
  </si>
  <si>
    <t>lbcl arising from follicular lymphoma</t>
  </si>
  <si>
    <t>non hodgkins relapsed refractory large b cell lymphoma</t>
  </si>
  <si>
    <t>nhl relapsed refractory large b cell lymphoma</t>
  </si>
  <si>
    <t>non hodgkins large b cell lymphoma</t>
  </si>
  <si>
    <t>nhl cancer</t>
  </si>
  <si>
    <t>large b cell non hodgkin's lymphoma</t>
  </si>
  <si>
    <t>dlbcl non hodgkin's lymphoma</t>
  </si>
  <si>
    <t>non hodgkins dlbcl</t>
  </si>
  <si>
    <t>nhl large b cell lymphoma</t>
  </si>
  <si>
    <t>nhl dlbcl</t>
  </si>
  <si>
    <t>nhl lymphoma</t>
  </si>
  <si>
    <t>non hodgkins lymphoma</t>
  </si>
  <si>
    <t>non hodgkins b cell lymphoma</t>
  </si>
  <si>
    <t>non-hodgkin lymphoma</t>
  </si>
  <si>
    <t>dlbcl causes</t>
  </si>
  <si>
    <t>large b cell lymphoma causes</t>
  </si>
  <si>
    <t>what causes dlbcl</t>
  </si>
  <si>
    <t>what causes large b cell lymphoma</t>
  </si>
  <si>
    <t>how do you get dlbcl</t>
  </si>
  <si>
    <t>how do you get large b cell lymphoma</t>
  </si>
  <si>
    <t>who gets large b cell lymphoma</t>
  </si>
  <si>
    <t>what is the cause of diffuse large b cell lymphoma</t>
  </si>
  <si>
    <t>how does dlbcl develop</t>
  </si>
  <si>
    <t>development of dlbcl</t>
  </si>
  <si>
    <t>what causes relapsed or refractory dlbcl</t>
  </si>
  <si>
    <t>causes of r/r dlbcl</t>
  </si>
  <si>
    <t>large b cell lymphoma diagnosis</t>
  </si>
  <si>
    <t>dlbcl diagnosis</t>
  </si>
  <si>
    <t>diagnosed with large b cell lymphoma</t>
  </si>
  <si>
    <t>diagnosed with dlbcl</t>
  </si>
  <si>
    <t>dlbcl diagnosis info</t>
  </si>
  <si>
    <t>dlbcl information</t>
  </si>
  <si>
    <t>https://www.columvi.com/resources/helpful-links.html?c=gft-18903220006</t>
  </si>
  <si>
    <t>dlbcl patient information</t>
  </si>
  <si>
    <t>large b cell lymphoma information</t>
  </si>
  <si>
    <t>large b cell lymphoma patient information</t>
  </si>
  <si>
    <t>the large b-cell lymphoma</t>
  </si>
  <si>
    <t>dlbcl resources</t>
  </si>
  <si>
    <t>dlbcl resources for patients</t>
  </si>
  <si>
    <t>patient resources diffuse large b cell lymphoma</t>
  </si>
  <si>
    <t>dlbcl caregiver resources</t>
  </si>
  <si>
    <t>dlbcl resources for caregivers</t>
  </si>
  <si>
    <t>dlbcl support</t>
  </si>
  <si>
    <t>patient support dlbcl</t>
  </si>
  <si>
    <t>downloadable resources for dlbcl</t>
  </si>
  <si>
    <t>dlbcl brochure</t>
  </si>
  <si>
    <t>dlbcl patient brochure</t>
  </si>
  <si>
    <t>dlbcl financial support</t>
  </si>
  <si>
    <t>https://www.columvi.com/financial-support/assistance-options.html?c=gft-18903220006</t>
  </si>
  <si>
    <t>dlbcl financial assistance</t>
  </si>
  <si>
    <t>apply for financial support dlbcl treatment</t>
  </si>
  <si>
    <t>diffuse large b cell lymphoma financial support</t>
  </si>
  <si>
    <t>diffuse large b cell lymphoma financial assistance</t>
  </si>
  <si>
    <t>dlbcl results</t>
  </si>
  <si>
    <t>https://www.columvi.com/columvi-results/clinical-trial-results.html?c=gft-18903220006</t>
  </si>
  <si>
    <t>results for dlbcl</t>
  </si>
  <si>
    <t>large b cell lymphoma results</t>
  </si>
  <si>
    <t>results for large b cell lymphoma</t>
  </si>
  <si>
    <t>relapsed refractory large b cell lymphoma results</t>
  </si>
  <si>
    <t>results for relapsed refractory large b cell lymphoma</t>
  </si>
  <si>
    <t>dlbcl clinical results</t>
  </si>
  <si>
    <t>dlbcl clinical trial data</t>
  </si>
  <si>
    <t>diffuse large b cell lymphoma clinical trials</t>
  </si>
  <si>
    <t>dlbcl clinical studies</t>
  </si>
  <si>
    <t>latest developments in dlbcl</t>
  </si>
  <si>
    <t>https://www.columvi.com/about-columvi/how-it-works.html?c=gft-18903220006</t>
  </si>
  <si>
    <t>dlbcl latest developments</t>
  </si>
  <si>
    <t>latest developments in diffuse large b cell lymphoma</t>
  </si>
  <si>
    <t>diffuse large b cell lymphoma latest developments</t>
  </si>
  <si>
    <t>dlbcl treatment</t>
  </si>
  <si>
    <t>https://www.columvi.com/about/treatment-goals-for-3l-dlbcl.html?c=gft-18903220006</t>
  </si>
  <si>
    <t>dlbcl treatment options</t>
  </si>
  <si>
    <t>treating dlbcl</t>
  </si>
  <si>
    <t>how to treat dlbcl</t>
  </si>
  <si>
    <t>treatments for dlbcl</t>
  </si>
  <si>
    <t>treat dlbcl</t>
  </si>
  <si>
    <t>diffuse large b cell lymphoma treatment</t>
  </si>
  <si>
    <t>treatment for diffuse large b cell lymphoma</t>
  </si>
  <si>
    <t>lbcl treatment</t>
  </si>
  <si>
    <t>r/r dlbcl treatment</t>
  </si>
  <si>
    <t>relapsed or refractory dlbcl treatment option</t>
  </si>
  <si>
    <t>treatments for relapsed or refractory dlbcl</t>
  </si>
  <si>
    <t>treatment for large b cell lymphoma</t>
  </si>
  <si>
    <t>treatment for b cell lymphoma</t>
  </si>
  <si>
    <t>latest treatment options for diffuse b cell lymphoma</t>
  </si>
  <si>
    <t>treatments in dlbcl</t>
  </si>
  <si>
    <t>dlbcl treatments</t>
  </si>
  <si>
    <t>treatments in diffuse large b cell lymphoma</t>
  </si>
  <si>
    <t>large b cell lymphoma drug</t>
  </si>
  <si>
    <t>relapsed refractory large b cell lymphoma drug</t>
  </si>
  <si>
    <t>non-hodgkin's treatment</t>
  </si>
  <si>
    <t>non-hodgkin's lymphoma treatment</t>
  </si>
  <si>
    <t>treatment for non-hodgkin's disease</t>
  </si>
  <si>
    <t>dlbcl starting treatment</t>
  </si>
  <si>
    <t>medication for large b cell lymphoma</t>
  </si>
  <si>
    <t>https://www.columvi.com/starting-columvi/how-columvi-is-given.html?c=gft-18903220006</t>
  </si>
  <si>
    <t>medication for dlbcl</t>
  </si>
  <si>
    <t>dlbcl medication</t>
  </si>
  <si>
    <t>diffuse large b cell lymphoma medication</t>
  </si>
  <si>
    <t>medication options for dlbcl</t>
  </si>
  <si>
    <t>relapsed or refractory dlbcl medication</t>
  </si>
  <si>
    <t>therapy for dlbcl</t>
  </si>
  <si>
    <t>therapy for large b cell lymphoma</t>
  </si>
  <si>
    <t>therapy for relapsed refractory large b cell lymphoma</t>
  </si>
  <si>
    <t>latest therapies for dlbcl</t>
  </si>
  <si>
    <t>latest therapy for diffuse large b cell lymphoma</t>
  </si>
  <si>
    <t>dlbcl infusion</t>
  </si>
  <si>
    <t xml:space="preserve">dlbcl dosing </t>
  </si>
  <si>
    <t>large b cell lymphoma infusion</t>
  </si>
  <si>
    <t>large b cell dosing information</t>
  </si>
  <si>
    <t>large b cell dosing and administration information</t>
  </si>
  <si>
    <t>Phrase</t>
  </si>
  <si>
    <t>Sitelink Headline</t>
  </si>
  <si>
    <t>Description Line 1</t>
  </si>
  <si>
    <t>Description Line 2</t>
  </si>
  <si>
    <t>Sitelink Landing Page</t>
  </si>
  <si>
    <t>Learn How DLBCL Develops &amp;</t>
  </si>
  <si>
    <t>Understand Treatment Goals.</t>
  </si>
  <si>
    <t>Financial Support</t>
  </si>
  <si>
    <t>Learn About Financial Assistance</t>
  </si>
  <si>
    <t>Options &amp; Sign Up For Support.</t>
  </si>
  <si>
    <t>Patient Support</t>
  </si>
  <si>
    <t>Access Questions For Your Doctor</t>
  </si>
  <si>
    <t>About A 3L+ DLBCL Infusion Option.</t>
  </si>
  <si>
    <t>https://www.columvi.com/resources/questions-to-ask-your-doctor.html?c=gft-18903220006</t>
  </si>
  <si>
    <t>Safety Information</t>
  </si>
  <si>
    <t>View Important Safety Information</t>
  </si>
  <si>
    <t>For A 3L+ DLBCL Treatment Option.</t>
  </si>
  <si>
    <t>https://www.columvi.com/side-effects/important-safety-information.html?c=gft-18903220006</t>
  </si>
  <si>
    <t>Side Effects</t>
  </si>
  <si>
    <t>Review The Possible Side Effects</t>
  </si>
  <si>
    <t>For A DLBCL Prescription Medicine.</t>
  </si>
  <si>
    <t>https://www.columvi.com/side-effects/summary.html?c=gft-18903220006</t>
  </si>
  <si>
    <t>Starting Treatment</t>
  </si>
  <si>
    <t>Download The Patient Brochure To</t>
  </si>
  <si>
    <t>Learn More About DLBCL Treatment.</t>
  </si>
  <si>
    <t>https://www.columvi.com/resources/downloads.html?c=gft-18903220006</t>
  </si>
  <si>
    <t>Callout text</t>
  </si>
  <si>
    <t>Financial Support Options</t>
  </si>
  <si>
    <t>Important Safety Info</t>
  </si>
  <si>
    <t>Patient Brochure</t>
  </si>
  <si>
    <t>Patient Information</t>
  </si>
  <si>
    <t>Serious Side Effect Info</t>
  </si>
  <si>
    <t>Treatment Schedule</t>
  </si>
  <si>
    <t>Structured Snippet</t>
  </si>
  <si>
    <t>Financial Assistance</t>
  </si>
  <si>
    <t>Helpful Links</t>
  </si>
  <si>
    <t>Patient Resources</t>
  </si>
  <si>
    <t>Questions For Your Doctor</t>
  </si>
  <si>
    <t>BS - 2024_Unbranded Condition_Exact | Columvi | Patient | Unbranded | www.columvi.com | DLBCL | gft-1890321fc12</t>
  </si>
  <si>
    <t>BS_Unbranded Condition_EX</t>
  </si>
  <si>
    <t>www.treating-rr-dlbcl.com</t>
  </si>
  <si>
    <t>BS_Unbranded DLBCL Causes_EX</t>
  </si>
  <si>
    <t>BS_Unbranded DLBCL Diagnosis_EX</t>
  </si>
  <si>
    <t>BS_Unbranded DLBCL Resources_EX</t>
  </si>
  <si>
    <t>BS_Unbranded DLBCL Financial Support_EX</t>
  </si>
  <si>
    <t>BS_Unbranded DLBCL Results_EX</t>
  </si>
  <si>
    <t>BS - 2024_Unbranded Treatment_Exact | Columvi | Patient | Unbranded | www.columvi.com | DLBCL | gft-1890321fc12</t>
  </si>
  <si>
    <t>BS_Unbranded DLBCL Developments_EX</t>
  </si>
  <si>
    <t>BS_Unbranded DLBCL Treatment_EX</t>
  </si>
  <si>
    <t>BS_Unbranded DLBCL Medication_EX</t>
  </si>
  <si>
    <t>BS_Unbranded DLBCL Therapy_EX</t>
  </si>
  <si>
    <t>BS_Unbranded DLBCL Dosing_EX</t>
  </si>
  <si>
    <t>BS - 2024_Unbranded Condition_Phrase | Columvi | Patient | Unbranded | www.columvi.com | DLBCL | gft-1890321fc12</t>
  </si>
  <si>
    <t>BS_Unbranded Condition_PH</t>
  </si>
  <si>
    <t>BS_Unbranded DLBCL Causes_PH</t>
  </si>
  <si>
    <t>BS_Unbranded DLBCL Diagnosis_PH</t>
  </si>
  <si>
    <t>BS_Unbranded DLBCL Resources_PH</t>
  </si>
  <si>
    <t>BS_Unbranded DLBCL Financial Support_PH</t>
  </si>
  <si>
    <t>BS_Unbranded DLBCL Results_PH</t>
  </si>
  <si>
    <t>BS - 2024_Unbranded Treatment_Phrase | Columvi | Patient | Unbranded | www.columvi.com | DLBCL | gft-1890321fc12</t>
  </si>
  <si>
    <t>BS_Unbranded DLBCL Developments_PH</t>
  </si>
  <si>
    <t>BS_Unbranded DLBCL Treatment_PH</t>
  </si>
  <si>
    <t>BS_Unbranded DLBCL Medication_PH</t>
  </si>
  <si>
    <t>BS_Unbranded DLBCL Therapy_PH</t>
  </si>
  <si>
    <t>BS_Unbranded DLBCL Dosing_PH</t>
  </si>
  <si>
    <t>Keywords</t>
  </si>
  <si>
    <t>https://www.columvi.com/about/what-is-DLBCL.html?c=gft-1890321fc12</t>
  </si>
  <si>
    <t>https://www.columvi.com/resources/helpful-links.html?c=gft-1890321fc12</t>
  </si>
  <si>
    <t>https://www.columvi.com/financial-support/assistance-options.html?c=gft-1890321fc12</t>
  </si>
  <si>
    <t>https://www.columvi.com/columvi-results/clinical-trial-results.html?c=gft-1890321fc12</t>
  </si>
  <si>
    <t>https://www.columvi.com/about-columvi/how-it-works.html?c=gft-1890321fc12</t>
  </si>
  <si>
    <t>https://www.columvi.com/about/treatment-goals-for-3l-dlbcl.html?c=gft-1890321fc12</t>
  </si>
  <si>
    <t>https://www.columvi.com/starting-columvi/how-columvi-is-given.html?c=gft-1890321fc12</t>
  </si>
  <si>
    <t>https://www.columvi.com/resources/questions-to-ask-your-doctor.html?c=gft-1890321fc12</t>
  </si>
  <si>
    <t>https://www.columvi.com/side-effects/important-safety-information.html?c=gft-1890321fc12</t>
  </si>
  <si>
    <t>https://www.columvi.com/side-effects/summary.html?c=gft-1890321fc12</t>
  </si>
  <si>
    <t>https://www.columvi.com/resources/downloads.html?c=gft-1890321fc12</t>
  </si>
  <si>
    <t>Callout Text</t>
  </si>
  <si>
    <t>Action Extension</t>
  </si>
  <si>
    <t>Download</t>
  </si>
  <si>
    <t>Learn More</t>
  </si>
  <si>
    <t>Sign Up</t>
  </si>
  <si>
    <t>https://www.columvi.com/resources/sign-up-for-support.html?c=gft-1890321fc12</t>
  </si>
  <si>
    <t>Paid Search - Ad Copy</t>
  </si>
  <si>
    <t>Client: Genentech</t>
  </si>
  <si>
    <t>Product/Brand: Columvi DTC Unbranded</t>
  </si>
  <si>
    <t>Engine</t>
  </si>
  <si>
    <t>Vanity Domain</t>
  </si>
  <si>
    <t>Google</t>
  </si>
  <si>
    <t>FOR REVIEWERS:</t>
  </si>
  <si>
    <t>Bing</t>
  </si>
  <si>
    <r>
      <rPr>
        <sz val="11"/>
        <color rgb="FF000000"/>
        <rFont val="Calibri"/>
        <family val="2"/>
      </rPr>
      <t xml:space="preserve">The colored highlights below will denote either "unique ad copy" </t>
    </r>
    <r>
      <rPr>
        <b/>
        <i/>
        <sz val="11"/>
        <color rgb="FF000000"/>
        <rFont val="Calibri"/>
        <family val="2"/>
      </rPr>
      <t>OR</t>
    </r>
    <r>
      <rPr>
        <sz val="11"/>
        <color rgb="FF000000"/>
        <rFont val="Calibri"/>
        <family val="2"/>
      </rPr>
      <t xml:space="preserve"> changes from the previous Veeva submission (not both). Media agency will confirm which of the two options is preferred.</t>
    </r>
  </si>
  <si>
    <t>This page must be submitted for AFD/2253</t>
  </si>
  <si>
    <r>
      <rPr>
        <sz val="11"/>
        <color rgb="FF000000"/>
        <rFont val="Calibri"/>
        <family val="2"/>
      </rPr>
      <t xml:space="preserve">The media agency may reserve several ad copy variations for </t>
    </r>
    <r>
      <rPr>
        <i/>
        <sz val="11"/>
        <color rgb="FF000000"/>
        <rFont val="Calibri"/>
        <family val="2"/>
      </rPr>
      <t>future</t>
    </r>
    <r>
      <rPr>
        <sz val="11"/>
        <color rgb="FF000000"/>
        <rFont val="Calibri"/>
        <family val="2"/>
      </rPr>
      <t xml:space="preserve"> testing but will not launch without a marketer's final alignment</t>
    </r>
  </si>
  <si>
    <r>
      <rPr>
        <sz val="11"/>
        <color rgb="FF000000"/>
        <rFont val="Calibri"/>
        <family val="2"/>
      </rPr>
      <t>The text within columns</t>
    </r>
    <r>
      <rPr>
        <b/>
        <sz val="11"/>
        <color rgb="FF000000"/>
        <rFont val="Calibri"/>
        <family val="2"/>
      </rPr>
      <t xml:space="preserve"> </t>
    </r>
    <r>
      <rPr>
        <sz val="11"/>
        <color rgb="FF000000"/>
        <rFont val="Calibri"/>
        <family val="2"/>
      </rPr>
      <t xml:space="preserve">entitled </t>
    </r>
    <r>
      <rPr>
        <b/>
        <sz val="11"/>
        <color rgb="FF000000"/>
        <rFont val="Calibri"/>
        <family val="2"/>
      </rPr>
      <t>Campaign</t>
    </r>
    <r>
      <rPr>
        <sz val="11"/>
        <color rgb="FF000000"/>
        <rFont val="Calibri"/>
        <family val="2"/>
      </rPr>
      <t xml:space="preserve"> and </t>
    </r>
    <r>
      <rPr>
        <b/>
        <sz val="11"/>
        <color rgb="FF000000"/>
        <rFont val="Calibri"/>
        <family val="2"/>
      </rPr>
      <t>Ad Group</t>
    </r>
    <r>
      <rPr>
        <sz val="11"/>
        <color rgb="FF000000"/>
        <rFont val="Calibri"/>
        <family val="2"/>
      </rPr>
      <t xml:space="preserve"> are </t>
    </r>
    <r>
      <rPr>
        <i/>
        <sz val="11"/>
        <color rgb="FF000000"/>
        <rFont val="Calibri"/>
        <family val="2"/>
      </rPr>
      <t>for reference only.</t>
    </r>
    <r>
      <rPr>
        <sz val="11"/>
        <color rgb="FF000000"/>
        <rFont val="Calibri"/>
        <family val="2"/>
      </rPr>
      <t xml:space="preserve"> These two fields represent how all ad copy and the keywords will be organized and structured within the search engines.</t>
    </r>
    <r>
      <rPr>
        <i/>
        <sz val="11"/>
        <color rgb="FF000000"/>
        <rFont val="Calibri"/>
        <family val="2"/>
      </rPr>
      <t xml:space="preserve"> </t>
    </r>
  </si>
  <si>
    <r>
      <rPr>
        <b/>
        <sz val="11"/>
        <color rgb="FF000000"/>
        <rFont val="Calibri"/>
        <family val="2"/>
      </rPr>
      <t>Display URLs</t>
    </r>
    <r>
      <rPr>
        <sz val="11"/>
        <color rgb="FF000000"/>
        <rFont val="Calibri"/>
        <family val="2"/>
      </rPr>
      <t xml:space="preserve"> are only for visual purposes only seen by searchers, but not necessarily where a user will land on a website. </t>
    </r>
  </si>
  <si>
    <t xml:space="preserve">To help ensure compliance and for some level of structure or consistency, there is the ability to "pin" headlines and descriptions in place. </t>
  </si>
  <si>
    <t>This new ad format introduces the need to approve a set of headlines and a set of descriptions that stand alone, make sense in any order, and are compliant in any order.</t>
  </si>
  <si>
    <r>
      <rPr>
        <sz val="11"/>
        <color rgb="FF000000"/>
        <rFont val="Calibri"/>
        <family val="2"/>
      </rPr>
      <t xml:space="preserve">On branded ads, </t>
    </r>
    <r>
      <rPr>
        <b/>
        <i/>
        <sz val="11"/>
        <color rgb="FF000000"/>
        <rFont val="Calibri"/>
        <family val="2"/>
      </rPr>
      <t>Path 1</t>
    </r>
    <r>
      <rPr>
        <sz val="11"/>
        <color rgb="FF000000"/>
        <rFont val="Calibri"/>
        <family val="2"/>
      </rPr>
      <t xml:space="preserve"> and </t>
    </r>
    <r>
      <rPr>
        <b/>
        <i/>
        <sz val="11"/>
        <color rgb="FF000000"/>
        <rFont val="Calibri"/>
        <family val="2"/>
      </rPr>
      <t>Path 2</t>
    </r>
    <r>
      <rPr>
        <sz val="11"/>
        <color rgb="FF000000"/>
        <rFont val="Calibri"/>
        <family val="2"/>
      </rPr>
      <t xml:space="preserve"> can be utilized as an extension of the display URL and used to describe information relevant to the searcher on the website</t>
    </r>
  </si>
  <si>
    <t>Visible on Search Engines</t>
  </si>
  <si>
    <t>Headline Options
(up to 15 headlines)</t>
  </si>
  <si>
    <t>Character Count 
(30 Max)</t>
  </si>
  <si>
    <t>Pin</t>
  </si>
  <si>
    <t>Description Line Options
(up to four descriptions)</t>
  </si>
  <si>
    <t>Character Count 
(90 Max)</t>
  </si>
  <si>
    <t>Vanity Path 1
(optional field)</t>
  </si>
  <si>
    <t>Character Count 
(15 Max)</t>
  </si>
  <si>
    <t>Vanity Path 2
(optional field)</t>
  </si>
  <si>
    <t>Not Visible to Searchers</t>
  </si>
  <si>
    <t>Visible to Searchers</t>
  </si>
  <si>
    <t>Not Visible</t>
  </si>
  <si>
    <t>See "Display URL" above for unbranded</t>
  </si>
  <si>
    <t>A Fixed-Duration Treatment</t>
  </si>
  <si>
    <t>3L+ DLBCL Treatment Info</t>
  </si>
  <si>
    <t>DLBCL Patient Support Program</t>
  </si>
  <si>
    <t>Prescribing Information</t>
  </si>
  <si>
    <t>3L+ DLBCL Medication</t>
  </si>
  <si>
    <t>Medication Option For DLBCL</t>
  </si>
  <si>
    <t>Paid Search - Keywords</t>
  </si>
  <si>
    <t>This page is not submitted for AFD/2253. This will be moved to "attachments" within Veeva during final upload</t>
  </si>
  <si>
    <t>Keywords may be updated without a full PRC review. The media agency will provide a revised attachment for upload by PRO managers</t>
  </si>
  <si>
    <t xml:space="preserve">Keywords listed below with trigger ads on the Ad Copy tab based on the Ad Group in which they are assigned. </t>
  </si>
  <si>
    <r>
      <rPr>
        <sz val="11"/>
        <color rgb="FF000000"/>
        <rFont val="Calibri"/>
        <family val="2"/>
      </rPr>
      <t xml:space="preserve">If the Product/Brand team has website URL changes, the URLs will also reflect across ad copy, </t>
    </r>
    <r>
      <rPr>
        <b/>
        <sz val="11"/>
        <color rgb="FF000000"/>
        <rFont val="Calibri"/>
        <family val="2"/>
      </rPr>
      <t xml:space="preserve">ad groups </t>
    </r>
    <r>
      <rPr>
        <sz val="11"/>
        <color rgb="FF000000"/>
        <rFont val="Calibri"/>
        <family val="2"/>
      </rPr>
      <t xml:space="preserve">and </t>
    </r>
    <r>
      <rPr>
        <b/>
        <sz val="11"/>
        <color rgb="FF000000"/>
        <rFont val="Calibri"/>
        <family val="2"/>
      </rPr>
      <t>keywords</t>
    </r>
    <r>
      <rPr>
        <sz val="11"/>
        <color rgb="FF000000"/>
        <rFont val="Calibri"/>
        <family val="2"/>
      </rPr>
      <t xml:space="preserve"> listed. This ensures that relevant ad copy and its destination URL is directly related to the user's search queries.</t>
    </r>
  </si>
  <si>
    <t>The media agency may reserve several keywords for future testing but will not launch without a marketer's final alignment. The media agency will drive to the most relevant content and have options to test for optimal ux.</t>
  </si>
  <si>
    <t>Destination URLs</t>
  </si>
  <si>
    <t>Not explicitly visible to Searchers (searchers type keywords that will trigger ads)</t>
  </si>
  <si>
    <t>Character Count 
 (90 Max)</t>
  </si>
  <si>
    <t>Visible to Searchers only after ad is clicked</t>
  </si>
  <si>
    <t>Paid Search - Ad Extensions</t>
  </si>
  <si>
    <t>Sitelinks must link to distinct destination URLs.  Per search engine policies, directing multiple sitelinks to the same destination URL may trigger disapproval</t>
  </si>
  <si>
    <t>Although a prioritization can be set, search engines can and will auto-optimize the order or format in which extensions appear. This is based on user engagement, relevancy, and other proprietary algorithms</t>
  </si>
  <si>
    <t>A minimum of four (4) site links must be provided in order to be eligible for a given campaign.</t>
  </si>
  <si>
    <r>
      <rPr>
        <sz val="11"/>
        <color rgb="FF000000"/>
        <rFont val="Calibri"/>
        <family val="2"/>
      </rPr>
      <t xml:space="preserve">Extensions will always appear below the main ad copy. Product/brand mentions in the extensions do </t>
    </r>
    <r>
      <rPr>
        <b/>
        <sz val="11"/>
        <color rgb="FF000000"/>
        <rFont val="Calibri"/>
        <family val="2"/>
      </rPr>
      <t>not</t>
    </r>
    <r>
      <rPr>
        <sz val="11"/>
        <color rgb="FF000000"/>
        <rFont val="Calibri"/>
        <family val="2"/>
      </rPr>
      <t xml:space="preserve"> require subsequent mentions of its generic name</t>
    </r>
  </si>
  <si>
    <t>Sitelinks</t>
  </si>
  <si>
    <t>Sitelink #</t>
  </si>
  <si>
    <t>Character Count 
 (25 Max)</t>
  </si>
  <si>
    <t>Sitelink Description Line 1</t>
  </si>
  <si>
    <t>Character Count 
 (35 Max)</t>
  </si>
  <si>
    <t>Sitelink Description Line 2</t>
  </si>
  <si>
    <t>Sitelink Destination URL</t>
  </si>
  <si>
    <t>All Unbranded Campaigns</t>
  </si>
  <si>
    <t>Sitelink #1</t>
  </si>
  <si>
    <t>https://www.columvi.com/resources/downloads.html</t>
  </si>
  <si>
    <t>Sitelink #2</t>
  </si>
  <si>
    <t>https://www.columvi.com/side-effects/important-safety-information.html</t>
  </si>
  <si>
    <t>Sitelink #3</t>
  </si>
  <si>
    <t>Sitelink #4</t>
  </si>
  <si>
    <t>Sitelink #5</t>
  </si>
  <si>
    <t>https://www.columvi.com/resources/questions-to-ask-your-doctor.html</t>
  </si>
  <si>
    <t>Sitelink #6</t>
  </si>
  <si>
    <t>https://www.columvi.com/side-effects/summary.html</t>
  </si>
  <si>
    <t>Callout Extensions are not clickable and thus do not direct to any website pages</t>
  </si>
  <si>
    <t>Callout Extensions</t>
  </si>
  <si>
    <t>Callout #</t>
  </si>
  <si>
    <t>Callout #1</t>
  </si>
  <si>
    <t>Callout #2</t>
  </si>
  <si>
    <t>Callout #3</t>
  </si>
  <si>
    <t>Callout #4</t>
  </si>
  <si>
    <t>Callout #5</t>
  </si>
  <si>
    <t>Callout #6</t>
  </si>
  <si>
    <t>Structured Snippets are ad extensions that highlight specific aspects of your products and services. They show underneath your text ad on search in the form of a header (ie. "Destinations") and list (ie. "Hawaii, Costa Rica, South Africa").</t>
  </si>
  <si>
    <t>Structured Snippets</t>
  </si>
  <si>
    <t>Snippet #</t>
  </si>
  <si>
    <t>Structured Snippet Text</t>
  </si>
  <si>
    <t>Snippet #1</t>
  </si>
  <si>
    <t>Snippet #2</t>
  </si>
  <si>
    <t>Snippet #3</t>
  </si>
  <si>
    <t>Snippet #4</t>
  </si>
  <si>
    <t>Snippet #5</t>
  </si>
  <si>
    <t>Action Extension #</t>
  </si>
  <si>
    <t>Extension #1</t>
  </si>
  <si>
    <t>Extension #2</t>
  </si>
  <si>
    <t>Extension #3</t>
  </si>
  <si>
    <t>https://www.columvi.com/resources/sign-up-for-support.html</t>
  </si>
  <si>
    <t>Landing Pages</t>
  </si>
  <si>
    <t>https://www.columvi.com</t>
  </si>
  <si>
    <t>https://www.columvi.com/resources/glossary.html</t>
  </si>
  <si>
    <t>https://www.columvi.com/financial-support/apply.html</t>
  </si>
  <si>
    <t>https://www.columvi.com/starting-columvi/starting-treatment-with-columvi.html</t>
  </si>
  <si>
    <t>https://www.columvi.com/financial-support/tool.html</t>
  </si>
  <si>
    <t>https://www.columvi.com/financial-support/tool/benefits-investigation.html</t>
  </si>
  <si>
    <t>https://www.columvi.com/financial-support/tool/co-pay.html</t>
  </si>
  <si>
    <t>https://www.columvi.com/financial-support/tool/gpf.html</t>
  </si>
  <si>
    <t>https://www.columvi.com/financial-support/tool/contact-copay-specialist.html</t>
  </si>
  <si>
    <t>https://www.columvi.com/financial-support/tool/contact-foundation-specialist.html</t>
  </si>
  <si>
    <t>https://www.columvi.com/financial-support/tool/contact-specialist-requirements-not-met.html</t>
  </si>
  <si>
    <t>https://www.columvi.com/financial-support/tool/gpf-financial-eligibility.html</t>
  </si>
  <si>
    <t>https://www.columvi.com/financial-support/tool/independent-foundations-gpf.html</t>
  </si>
  <si>
    <t>https://www.columvi.com/financial-support/case-managers.html</t>
  </si>
  <si>
    <t>Concatenate Campaign/Ad Group/Headline/Headline Position</t>
  </si>
  <si>
    <t>Concatenate(Description/Description Position)</t>
  </si>
  <si>
    <t>Google Keywords Clean Landing Page</t>
  </si>
  <si>
    <t>Bing Keywords Clean Landing Page</t>
  </si>
  <si>
    <t>Bing Clean Sitelink Landing Page</t>
  </si>
  <si>
    <t>Google Clean Sitelink Landing Page</t>
  </si>
  <si>
    <t>Bing Action Extensions Clean Final URL</t>
  </si>
  <si>
    <t>Financial   Support Options</t>
  </si>
  <si>
    <t>Important Safety   Info</t>
  </si>
  <si>
    <t>Status</t>
  </si>
  <si>
    <t>Vlookup Campaign</t>
  </si>
  <si>
    <t>Vlookup Ad Group</t>
  </si>
  <si>
    <t>Concatenate Campaign/Ad Group</t>
  </si>
  <si>
    <t>Vlookup Headline 1</t>
  </si>
  <si>
    <t>Vlookup Headline 2</t>
  </si>
  <si>
    <t>Vlookup Headline 3</t>
  </si>
  <si>
    <t>Vlookup Headline 4</t>
  </si>
  <si>
    <t>Vlookup Headline 5</t>
  </si>
  <si>
    <t>Vlookup Headline 6</t>
  </si>
  <si>
    <t>Vlookup Headline 7</t>
  </si>
  <si>
    <t>Vlookup Headline 8</t>
  </si>
  <si>
    <t>Vlookup Headline 9</t>
  </si>
  <si>
    <t>Vlookup Headline 10</t>
  </si>
  <si>
    <t>Vlookup Headline 11</t>
  </si>
  <si>
    <t>Vlookup Headline 12</t>
  </si>
  <si>
    <t>Vlookup Headline 13</t>
  </si>
  <si>
    <t>Vlookup Headline 1 Position</t>
  </si>
  <si>
    <t>Vlookup Headline 2 Position</t>
  </si>
  <si>
    <t>Vlookup Headline 3 Position</t>
  </si>
  <si>
    <t>Vlookup Headline 4 Position</t>
  </si>
  <si>
    <t>Vlookup Headline 5 Position</t>
  </si>
  <si>
    <t>Vlookup Headline 6 Position</t>
  </si>
  <si>
    <t>Vlookup Headline 7 Position</t>
  </si>
  <si>
    <t>Vlookup Headline 8 Position</t>
  </si>
  <si>
    <t>Vlookup Headline 9 Position</t>
  </si>
  <si>
    <t>Vlookup Headline 10 Position</t>
  </si>
  <si>
    <t>Vlookup Headline 11 Position</t>
  </si>
  <si>
    <t>Vlookup Headline 12 Position</t>
  </si>
  <si>
    <t>Vlookup Headline 13 Position</t>
  </si>
  <si>
    <t>Vlookup Campaign/Ad Group/Headline/Headline Position</t>
  </si>
  <si>
    <t>Vlookup Description 1</t>
  </si>
  <si>
    <t>Vlookup Description 2</t>
  </si>
  <si>
    <t>Vlookup Description 3</t>
  </si>
  <si>
    <t>Vlookup Description 4</t>
  </si>
  <si>
    <t>Vlookup Description 1 Position</t>
  </si>
  <si>
    <t>Vlookup Description 2 Position</t>
  </si>
  <si>
    <t>Vlookup Description 3 Position</t>
  </si>
  <si>
    <t>Vlookup Description 4 Position</t>
  </si>
  <si>
    <t>Concatenate Description/Description Position</t>
  </si>
  <si>
    <t>Vlookup Description/Description Position</t>
  </si>
  <si>
    <t>dlbcl dosing</t>
  </si>
  <si>
    <t>a  b out   dlbcl</t>
  </si>
  <si>
    <t>Clean Ad Group</t>
  </si>
  <si>
    <t>Vlookup Clean Ad Group</t>
  </si>
  <si>
    <t>Vlookup Keywords</t>
  </si>
  <si>
    <t>Clean Destination URLs</t>
  </si>
  <si>
    <t>Vlookup Clean Destination URLs</t>
  </si>
  <si>
    <t>Concatenate Vlookup Clean Destination URLs/Tactic code</t>
  </si>
  <si>
    <t>True/False</t>
  </si>
  <si>
    <t>https://www.columvi.com/about /what-is-DLBCL.html</t>
  </si>
  <si>
    <t>https://www.columvi.com/about  /what-is-DLBCL.html?c=gft-18903220006</t>
  </si>
  <si>
    <t>Vlookup Sitelink Headline</t>
  </si>
  <si>
    <t>Vlookup Sitelink Desc Line 1</t>
  </si>
  <si>
    <t>Vlookup Sitelink Desc Line 2</t>
  </si>
  <si>
    <t>Concatenate Vlookup Keywords/Tactic code</t>
  </si>
  <si>
    <t>Vlookup Action Extension</t>
  </si>
  <si>
    <t>Clean Final URLs</t>
  </si>
  <si>
    <t>Vlookup Clean Final URLs</t>
  </si>
  <si>
    <t>j</t>
  </si>
  <si>
    <t>t</t>
  </si>
  <si>
    <t>y</t>
  </si>
  <si>
    <t>d</t>
  </si>
  <si>
    <t>s</t>
  </si>
  <si>
    <t>w</t>
  </si>
  <si>
    <t>About DLB CL</t>
  </si>
  <si>
    <t>Patient  Support</t>
  </si>
  <si>
    <t>https://www.columvi.com/resources/question  s-to-ask-your-doctor.html</t>
  </si>
  <si>
    <t>dd</t>
  </si>
  <si>
    <t>ee</t>
  </si>
  <si>
    <t>e</t>
  </si>
  <si>
    <t>sss</t>
  </si>
  <si>
    <t>Siign Up</t>
  </si>
  <si>
    <t>downloadd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</si>
</sst>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;@"/>
  </numFmts>
  <fonts count="35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11"/>
      <color rgb="FF000000"/>
      <name val="Calibri"/>
      <family val="2"/>
    </font>
    <font>
      <u/>
      <sz val="11"/>
      <color rgb="FF0000FF"/>
      <name val="Aptos Narrow"/>
      <family val="2"/>
    </font>
    <font>
      <b/>
      <sz val="11"/>
      <color theme="1"/>
      <name val="Calibri"/>
      <family val="2"/>
    </font>
    <font>
      <sz val="10"/>
      <color rgb="FF000000"/>
      <name val="Times New Roman"/>
      <family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sz val="10"/>
      <color theme="10"/>
      <name val="Times New Roman"/>
      <family val="1"/>
    </font>
    <font>
      <b/>
      <i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20"/>
      <color rgb="FF000000"/>
      <name val="Calibri"/>
      <family val="2"/>
    </font>
    <font>
      <b/>
      <sz val="14"/>
      <color rgb="FF000000"/>
      <name val="Calibri"/>
      <family val="2"/>
    </font>
    <font>
      <sz val="10"/>
      <name val="Times New Roman"/>
      <family val="1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4"/>
      <color theme="1"/>
      <name val="Calibri"/>
      <family val="2"/>
    </font>
    <font>
      <b/>
      <sz val="16"/>
      <color rgb="FF000000"/>
      <name val="Calibri"/>
      <family val="2"/>
    </font>
    <font>
      <u/>
      <sz val="11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theme="1"/>
      <name val="Calibri"/>
      <family val="2"/>
    </font>
    <font>
      <sz val="11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1"/>
      <color rgb="FFFF0000"/>
      <name val="Aptos Narrow"/>
      <family val="2"/>
    </font>
    <font>
      <b/>
      <sz val="11"/>
      <color rgb="FFFF0000"/>
      <name val="Calibri"/>
      <family val="2"/>
    </font>
    <font>
      <b/>
      <sz val="11"/>
      <color rgb="FFFF000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B8CCE4"/>
        <bgColor rgb="FFB8CCE4"/>
      </patternFill>
    </fill>
    <fill>
      <patternFill patternType="solid">
        <fgColor rgb="FFBFBFBF"/>
        <bgColor rgb="FFBFBFBF"/>
      </patternFill>
    </fill>
    <fill>
      <patternFill patternType="solid">
        <fgColor rgb="FFFFF2CC"/>
        <bgColor rgb="FFFFF2CC"/>
      </patternFill>
    </fill>
    <fill>
      <patternFill patternType="solid">
        <fgColor rgb="FFD8D8D8"/>
        <bgColor rgb="FFD8D8D8"/>
      </patternFill>
    </fill>
    <fill>
      <patternFill patternType="solid">
        <fgColor rgb="FFF2DBDB"/>
        <bgColor rgb="FFF2DBDB"/>
      </patternFill>
    </fill>
    <fill>
      <patternFill patternType="solid">
        <fgColor rgb="FF595959"/>
        <bgColor rgb="FF595959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6D7A8"/>
        <bgColor rgb="FFB6D7A8"/>
      </patternFill>
    </fill>
    <fill>
      <patternFill patternType="solid">
        <fgColor rgb="FF7F7F7F"/>
        <bgColor rgb="FF7F7F7F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BFBFBF"/>
      </patternFill>
    </fill>
    <fill>
      <patternFill patternType="solid">
        <fgColor rgb="FFFF0000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 style="thin">
        <color rgb="FFFFFFFF"/>
      </right>
      <top style="medium">
        <color indexed="64"/>
      </top>
      <bottom style="thin">
        <color rgb="FFFFFFFF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indexed="64"/>
      </right>
      <top/>
      <bottom style="medium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medium">
        <color indexed="64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/>
      <right style="thin">
        <color rgb="FFFFFFFF"/>
      </right>
      <top style="thin">
        <color rgb="FF000000"/>
      </top>
      <bottom style="thin">
        <color rgb="FFFFFFFF"/>
      </bottom>
      <diagonal/>
    </border>
    <border>
      <left/>
      <right style="thin">
        <color rgb="FF000000"/>
      </right>
      <top style="thin">
        <color rgb="FF000000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000000"/>
      </right>
      <top style="thin">
        <color rgb="FFFFFFFF"/>
      </top>
      <bottom style="thin">
        <color rgb="FFFFFFFF"/>
      </bottom>
      <diagonal/>
    </border>
    <border>
      <left/>
      <right style="thin">
        <color rgb="FF000000"/>
      </right>
      <top style="thin">
        <color rgb="FFFFFFFF"/>
      </top>
      <bottom/>
      <diagonal/>
    </border>
    <border>
      <left style="medium">
        <color indexed="64"/>
      </left>
      <right style="thin">
        <color rgb="FFFFFFFF"/>
      </right>
      <top style="thin">
        <color rgb="FFFFFFFF"/>
      </top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indexed="64"/>
      </right>
      <top style="medium">
        <color rgb="FFFFFFFF"/>
      </top>
      <bottom/>
      <diagonal/>
    </border>
    <border>
      <left style="medium">
        <color indexed="64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 style="thin">
        <color rgb="FF000000"/>
      </bottom>
      <diagonal/>
    </border>
    <border>
      <left/>
      <right style="thin">
        <color rgb="FF000000"/>
      </right>
      <top style="thin">
        <color rgb="FFFFFFFF"/>
      </top>
      <bottom style="thin">
        <color rgb="FF000000"/>
      </bottom>
      <diagonal/>
    </border>
    <border>
      <left style="medium">
        <color indexed="64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medium">
        <color indexed="64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medium">
        <color indexed="64"/>
      </top>
      <bottom style="thin">
        <color rgb="FFFFFFFF"/>
      </bottom>
      <diagonal/>
    </border>
    <border>
      <left style="thin">
        <color rgb="FFFFFFFF"/>
      </left>
      <right style="medium">
        <color indexed="64"/>
      </right>
      <top style="thin">
        <color rgb="FFFFFFFF"/>
      </top>
      <bottom/>
      <diagonal/>
    </border>
    <border>
      <left style="thin">
        <color rgb="FFFFFFFF"/>
      </left>
      <right style="medium">
        <color indexed="64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medium">
        <color indexed="64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medium">
        <color indexed="64"/>
      </right>
      <top/>
      <bottom style="thin">
        <color rgb="FFFFFFFF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30" fillId="0" borderId="0"/>
    <xf numFmtId="0" fontId="31" fillId="0" borderId="0" applyNumberFormat="0" applyFill="0" applyBorder="0" applyAlignment="0" applyProtection="0"/>
  </cellStyleXfs>
  <cellXfs count="248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/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0" fontId="5" fillId="2" borderId="0" xfId="0" applyFont="1" applyFill="1"/>
    <xf numFmtId="0" fontId="4" fillId="0" borderId="0" xfId="0" applyFont="1" applyAlignment="1">
      <alignment horizontal="left"/>
    </xf>
    <xf numFmtId="0" fontId="8" fillId="0" borderId="0" xfId="0" applyFont="1"/>
    <xf numFmtId="0" fontId="9" fillId="3" borderId="1" xfId="0" applyFont="1" applyFill="1" applyBorder="1" applyAlignment="1">
      <alignment horizontal="left" vertical="center"/>
    </xf>
    <xf numFmtId="0" fontId="10" fillId="0" borderId="2" xfId="0" applyFont="1" applyBorder="1" applyAlignment="1">
      <alignment horizontal="left" vertical="top"/>
    </xf>
    <xf numFmtId="0" fontId="10" fillId="0" borderId="3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9" fillId="3" borderId="4" xfId="0" applyFont="1" applyFill="1" applyBorder="1" applyAlignment="1">
      <alignment horizontal="left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6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left" vertical="center"/>
    </xf>
    <xf numFmtId="0" fontId="11" fillId="3" borderId="8" xfId="0" applyFont="1" applyFill="1" applyBorder="1" applyAlignment="1">
      <alignment horizontal="left" vertical="center"/>
    </xf>
    <xf numFmtId="0" fontId="11" fillId="3" borderId="9" xfId="0" applyFont="1" applyFill="1" applyBorder="1" applyAlignment="1">
      <alignment horizontal="left" vertical="center"/>
    </xf>
    <xf numFmtId="0" fontId="11" fillId="3" borderId="10" xfId="0" applyFont="1" applyFill="1" applyBorder="1" applyAlignment="1">
      <alignment horizontal="left" vertical="center"/>
    </xf>
    <xf numFmtId="0" fontId="11" fillId="3" borderId="11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1" fillId="3" borderId="13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3" borderId="11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164" fontId="12" fillId="0" borderId="15" xfId="0" applyNumberFormat="1" applyFont="1" applyBorder="1" applyAlignment="1">
      <alignment horizontal="left" vertical="center"/>
    </xf>
    <xf numFmtId="0" fontId="14" fillId="3" borderId="14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12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left" vertical="center"/>
    </xf>
    <xf numFmtId="0" fontId="11" fillId="3" borderId="17" xfId="0" applyFont="1" applyFill="1" applyBorder="1" applyAlignment="1">
      <alignment horizontal="left" vertical="center"/>
    </xf>
    <xf numFmtId="0" fontId="11" fillId="3" borderId="18" xfId="0" applyFont="1" applyFill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0" fontId="11" fillId="3" borderId="20" xfId="0" applyFont="1" applyFill="1" applyBorder="1" applyAlignment="1">
      <alignment horizontal="left" vertical="center"/>
    </xf>
    <xf numFmtId="0" fontId="11" fillId="3" borderId="21" xfId="0" applyFont="1" applyFill="1" applyBorder="1" applyAlignment="1">
      <alignment horizontal="left" vertical="center"/>
    </xf>
    <xf numFmtId="0" fontId="11" fillId="3" borderId="22" xfId="0" applyFont="1" applyFill="1" applyBorder="1" applyAlignment="1">
      <alignment horizontal="left" vertical="center"/>
    </xf>
    <xf numFmtId="0" fontId="11" fillId="3" borderId="23" xfId="0" applyFont="1" applyFill="1" applyBorder="1" applyAlignment="1">
      <alignment horizontal="left" vertical="center"/>
    </xf>
    <xf numFmtId="0" fontId="11" fillId="3" borderId="24" xfId="0" applyFont="1" applyFill="1" applyBorder="1" applyAlignment="1">
      <alignment horizontal="left" vertical="center"/>
    </xf>
    <xf numFmtId="0" fontId="11" fillId="3" borderId="24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11" fillId="3" borderId="12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left" vertical="center"/>
    </xf>
    <xf numFmtId="0" fontId="11" fillId="3" borderId="25" xfId="0" applyFont="1" applyFill="1" applyBorder="1" applyAlignment="1">
      <alignment horizontal="left" vertical="center"/>
    </xf>
    <xf numFmtId="0" fontId="11" fillId="3" borderId="26" xfId="0" applyFont="1" applyFill="1" applyBorder="1" applyAlignment="1">
      <alignment horizontal="left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27" xfId="0" applyFont="1" applyFill="1" applyBorder="1" applyAlignment="1">
      <alignment horizontal="center" vertical="center" wrapText="1"/>
    </xf>
    <xf numFmtId="0" fontId="12" fillId="3" borderId="17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0" fontId="12" fillId="3" borderId="11" xfId="0" applyFont="1" applyFill="1" applyBorder="1" applyAlignment="1">
      <alignment horizontal="center" vertical="center" wrapText="1"/>
    </xf>
    <xf numFmtId="0" fontId="12" fillId="3" borderId="12" xfId="0" applyFont="1" applyFill="1" applyBorder="1" applyAlignment="1">
      <alignment horizontal="center" vertical="center" wrapText="1"/>
    </xf>
    <xf numFmtId="0" fontId="11" fillId="3" borderId="28" xfId="0" applyFont="1" applyFill="1" applyBorder="1" applyAlignment="1">
      <alignment horizontal="left" vertical="center"/>
    </xf>
    <xf numFmtId="0" fontId="12" fillId="3" borderId="9" xfId="0" applyFont="1" applyFill="1" applyBorder="1" applyAlignment="1">
      <alignment horizontal="center" vertical="center"/>
    </xf>
    <xf numFmtId="0" fontId="19" fillId="3" borderId="27" xfId="0" applyFont="1" applyFill="1" applyBorder="1" applyAlignment="1">
      <alignment horizontal="center" vertical="center" wrapText="1"/>
    </xf>
    <xf numFmtId="0" fontId="19" fillId="3" borderId="17" xfId="0" applyFont="1" applyFill="1" applyBorder="1" applyAlignment="1">
      <alignment horizontal="center" vertical="center" wrapText="1"/>
    </xf>
    <xf numFmtId="0" fontId="19" fillId="3" borderId="9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30" xfId="0" applyFont="1" applyFill="1" applyBorder="1" applyAlignment="1">
      <alignment horizontal="center" vertical="center" wrapText="1"/>
    </xf>
    <xf numFmtId="0" fontId="19" fillId="3" borderId="31" xfId="0" applyFont="1" applyFill="1" applyBorder="1" applyAlignment="1">
      <alignment horizontal="center" vertical="center" wrapText="1"/>
    </xf>
    <xf numFmtId="0" fontId="11" fillId="3" borderId="32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12" fillId="3" borderId="33" xfId="0" applyFont="1" applyFill="1" applyBorder="1" applyAlignment="1">
      <alignment horizontal="center" vertical="center"/>
    </xf>
    <xf numFmtId="0" fontId="12" fillId="3" borderId="34" xfId="0" applyFont="1" applyFill="1" applyBorder="1" applyAlignment="1">
      <alignment horizontal="center" vertical="center"/>
    </xf>
    <xf numFmtId="0" fontId="19" fillId="3" borderId="35" xfId="0" applyFont="1" applyFill="1" applyBorder="1" applyAlignment="1">
      <alignment horizontal="center" vertical="center" wrapText="1"/>
    </xf>
    <xf numFmtId="0" fontId="11" fillId="3" borderId="36" xfId="0" applyFont="1" applyFill="1" applyBorder="1" applyAlignment="1">
      <alignment horizontal="left" vertical="top"/>
    </xf>
    <xf numFmtId="0" fontId="11" fillId="3" borderId="24" xfId="0" applyFont="1" applyFill="1" applyBorder="1" applyAlignment="1">
      <alignment horizontal="left"/>
    </xf>
    <xf numFmtId="0" fontId="12" fillId="3" borderId="37" xfId="0" applyFont="1" applyFill="1" applyBorder="1" applyAlignment="1">
      <alignment horizontal="center" vertical="center"/>
    </xf>
    <xf numFmtId="0" fontId="19" fillId="3" borderId="37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 wrapText="1"/>
    </xf>
    <xf numFmtId="0" fontId="19" fillId="3" borderId="38" xfId="0" applyFont="1" applyFill="1" applyBorder="1" applyAlignment="1">
      <alignment horizontal="center" vertical="center" wrapText="1"/>
    </xf>
    <xf numFmtId="0" fontId="12" fillId="6" borderId="42" xfId="0" applyFont="1" applyFill="1" applyBorder="1" applyAlignment="1">
      <alignment horizontal="center" vertical="center" wrapText="1"/>
    </xf>
    <xf numFmtId="0" fontId="12" fillId="6" borderId="43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12" fillId="7" borderId="43" xfId="0" applyFont="1" applyFill="1" applyBorder="1" applyAlignment="1">
      <alignment horizontal="center" vertical="center" wrapText="1"/>
    </xf>
    <xf numFmtId="0" fontId="12" fillId="7" borderId="14" xfId="0" applyFont="1" applyFill="1" applyBorder="1" applyAlignment="1">
      <alignment horizontal="center" vertical="center" wrapText="1"/>
    </xf>
    <xf numFmtId="0" fontId="12" fillId="7" borderId="44" xfId="0" applyFont="1" applyFill="1" applyBorder="1" applyAlignment="1">
      <alignment horizontal="center" vertical="center" wrapText="1"/>
    </xf>
    <xf numFmtId="0" fontId="17" fillId="8" borderId="45" xfId="0" applyFont="1" applyFill="1" applyBorder="1" applyAlignment="1">
      <alignment horizontal="center" vertical="center" wrapText="1"/>
    </xf>
    <xf numFmtId="0" fontId="17" fillId="9" borderId="45" xfId="0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7" fillId="9" borderId="46" xfId="0" applyFont="1" applyFill="1" applyBorder="1" applyAlignment="1">
      <alignment horizontal="center" vertical="center" wrapText="1"/>
    </xf>
    <xf numFmtId="0" fontId="17" fillId="9" borderId="47" xfId="0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/>
    </xf>
    <xf numFmtId="0" fontId="11" fillId="0" borderId="49" xfId="0" applyFont="1" applyBorder="1" applyAlignment="1">
      <alignment horizontal="center"/>
    </xf>
    <xf numFmtId="0" fontId="11" fillId="0" borderId="50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0" fillId="0" borderId="51" xfId="0" applyFont="1" applyBorder="1" applyAlignment="1">
      <alignment horizontal="left" vertical="top"/>
    </xf>
    <xf numFmtId="0" fontId="11" fillId="0" borderId="1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52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/>
    </xf>
    <xf numFmtId="0" fontId="24" fillId="10" borderId="0" xfId="0" applyFont="1" applyFill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23" fillId="11" borderId="14" xfId="0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/>
    </xf>
    <xf numFmtId="0" fontId="11" fillId="0" borderId="49" xfId="0" applyFont="1" applyBorder="1" applyAlignment="1">
      <alignment horizontal="center" vertical="center"/>
    </xf>
    <xf numFmtId="0" fontId="23" fillId="0" borderId="55" xfId="0" applyFont="1" applyBorder="1" applyAlignment="1">
      <alignment horizontal="center"/>
    </xf>
    <xf numFmtId="0" fontId="11" fillId="0" borderId="56" xfId="0" applyFont="1" applyBorder="1" applyAlignment="1">
      <alignment horizontal="center"/>
    </xf>
    <xf numFmtId="0" fontId="11" fillId="0" borderId="57" xfId="0" applyFont="1" applyBorder="1" applyAlignment="1">
      <alignment horizontal="center" vertical="center"/>
    </xf>
    <xf numFmtId="0" fontId="24" fillId="10" borderId="58" xfId="0" applyFont="1" applyFill="1" applyBorder="1" applyAlignment="1">
      <alignment horizontal="center" vertical="center"/>
    </xf>
    <xf numFmtId="0" fontId="11" fillId="0" borderId="56" xfId="0" applyFont="1" applyBorder="1" applyAlignment="1">
      <alignment horizontal="center" vertical="center"/>
    </xf>
    <xf numFmtId="0" fontId="10" fillId="0" borderId="58" xfId="0" applyFont="1" applyBorder="1" applyAlignment="1">
      <alignment horizontal="left" vertical="top"/>
    </xf>
    <xf numFmtId="0" fontId="10" fillId="0" borderId="59" xfId="0" applyFont="1" applyBorder="1" applyAlignment="1">
      <alignment horizontal="left" vertical="top"/>
    </xf>
    <xf numFmtId="0" fontId="12" fillId="0" borderId="1" xfId="0" applyFont="1" applyBorder="1" applyAlignment="1">
      <alignment horizontal="left" vertical="center"/>
    </xf>
    <xf numFmtId="0" fontId="11" fillId="0" borderId="60" xfId="0" applyFont="1" applyBorder="1" applyAlignment="1">
      <alignment horizontal="left" vertical="center"/>
    </xf>
    <xf numFmtId="0" fontId="11" fillId="0" borderId="5" xfId="0" applyFont="1" applyBorder="1" applyAlignment="1">
      <alignment horizontal="left" vertical="center"/>
    </xf>
    <xf numFmtId="0" fontId="11" fillId="0" borderId="38" xfId="0" applyFont="1" applyBorder="1" applyAlignment="1">
      <alignment horizontal="left" vertical="center"/>
    </xf>
    <xf numFmtId="0" fontId="11" fillId="0" borderId="0" xfId="0" applyFont="1" applyAlignment="1">
      <alignment horizontal="center"/>
    </xf>
    <xf numFmtId="0" fontId="9" fillId="0" borderId="4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top"/>
    </xf>
    <xf numFmtId="164" fontId="9" fillId="0" borderId="4" xfId="0" applyNumberFormat="1" applyFont="1" applyBorder="1" applyAlignment="1">
      <alignment horizontal="left" vertical="center"/>
    </xf>
    <xf numFmtId="0" fontId="11" fillId="0" borderId="25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11" fillId="0" borderId="61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1" fillId="0" borderId="62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5" xfId="0" applyFont="1" applyBorder="1" applyAlignment="1">
      <alignment horizontal="left" vertical="center"/>
    </xf>
    <xf numFmtId="0" fontId="23" fillId="0" borderId="38" xfId="0" applyFont="1" applyBorder="1" applyAlignment="1">
      <alignment horizontal="left" vertical="center"/>
    </xf>
    <xf numFmtId="0" fontId="11" fillId="0" borderId="4" xfId="0" applyFont="1" applyBorder="1" applyAlignment="1">
      <alignment horizontal="left" vertical="center"/>
    </xf>
    <xf numFmtId="0" fontId="23" fillId="0" borderId="32" xfId="0" applyFont="1" applyBorder="1" applyAlignment="1">
      <alignment horizontal="left" vertical="center"/>
    </xf>
    <xf numFmtId="0" fontId="11" fillId="0" borderId="33" xfId="0" applyFont="1" applyBorder="1" applyAlignment="1">
      <alignment horizontal="left" vertical="center"/>
    </xf>
    <xf numFmtId="0" fontId="11" fillId="0" borderId="63" xfId="0" applyFont="1" applyBorder="1" applyAlignment="1">
      <alignment horizontal="left" vertical="center"/>
    </xf>
    <xf numFmtId="0" fontId="23" fillId="0" borderId="36" xfId="0" applyFont="1" applyBorder="1" applyAlignment="1">
      <alignment horizontal="left" vertical="center"/>
    </xf>
    <xf numFmtId="0" fontId="11" fillId="0" borderId="24" xfId="0" applyFont="1" applyBorder="1" applyAlignment="1">
      <alignment horizontal="left" vertical="center"/>
    </xf>
    <xf numFmtId="0" fontId="11" fillId="0" borderId="64" xfId="0" applyFont="1" applyBorder="1" applyAlignment="1">
      <alignment horizontal="left" vertical="center"/>
    </xf>
    <xf numFmtId="0" fontId="23" fillId="0" borderId="28" xfId="0" applyFont="1" applyBorder="1" applyAlignment="1">
      <alignment horizontal="left" vertical="top"/>
    </xf>
    <xf numFmtId="0" fontId="23" fillId="0" borderId="9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25" fillId="12" borderId="65" xfId="0" applyFont="1" applyFill="1" applyBorder="1" applyAlignment="1">
      <alignment horizontal="center" vertical="center" wrapText="1"/>
    </xf>
    <xf numFmtId="0" fontId="25" fillId="12" borderId="66" xfId="0" applyFont="1" applyFill="1" applyBorder="1" applyAlignment="1">
      <alignment horizontal="center" vertical="center" wrapText="1"/>
    </xf>
    <xf numFmtId="0" fontId="17" fillId="8" borderId="67" xfId="0" applyFont="1" applyFill="1" applyBorder="1" applyAlignment="1">
      <alignment horizontal="center" vertical="center" wrapText="1"/>
    </xf>
    <xf numFmtId="0" fontId="25" fillId="12" borderId="68" xfId="0" applyFont="1" applyFill="1" applyBorder="1" applyAlignment="1">
      <alignment horizontal="center" vertical="center" wrapText="1"/>
    </xf>
    <xf numFmtId="0" fontId="17" fillId="9" borderId="71" xfId="0" applyFont="1" applyFill="1" applyBorder="1" applyAlignment="1">
      <alignment horizontal="center" vertical="center" wrapText="1"/>
    </xf>
    <xf numFmtId="0" fontId="12" fillId="7" borderId="71" xfId="0" applyFont="1" applyFill="1" applyBorder="1" applyAlignment="1">
      <alignment horizontal="center" vertical="center" wrapText="1"/>
    </xf>
    <xf numFmtId="0" fontId="17" fillId="13" borderId="72" xfId="0" applyFont="1" applyFill="1" applyBorder="1" applyAlignment="1">
      <alignment horizontal="center" vertical="center" wrapText="1"/>
    </xf>
    <xf numFmtId="0" fontId="11" fillId="0" borderId="44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0" fontId="11" fillId="0" borderId="55" xfId="0" applyFont="1" applyBorder="1" applyAlignment="1">
      <alignment horizontal="center"/>
    </xf>
    <xf numFmtId="0" fontId="11" fillId="0" borderId="73" xfId="0" applyFont="1" applyBorder="1" applyAlignment="1">
      <alignment horizontal="center"/>
    </xf>
    <xf numFmtId="0" fontId="11" fillId="0" borderId="74" xfId="0" applyFont="1" applyBorder="1" applyAlignment="1">
      <alignment horizontal="center"/>
    </xf>
    <xf numFmtId="0" fontId="12" fillId="0" borderId="75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9" fillId="3" borderId="28" xfId="0" applyFont="1" applyFill="1" applyBorder="1" applyAlignment="1">
      <alignment horizontal="left" vertical="center"/>
    </xf>
    <xf numFmtId="0" fontId="11" fillId="3" borderId="36" xfId="0" applyFont="1" applyFill="1" applyBorder="1" applyAlignment="1">
      <alignment horizontal="left" vertical="center"/>
    </xf>
    <xf numFmtId="0" fontId="11" fillId="0" borderId="76" xfId="0" applyFont="1" applyBorder="1" applyAlignment="1">
      <alignment horizontal="left" vertical="center"/>
    </xf>
    <xf numFmtId="0" fontId="11" fillId="0" borderId="77" xfId="0" applyFont="1" applyBorder="1" applyAlignment="1">
      <alignment horizontal="left" vertical="center"/>
    </xf>
    <xf numFmtId="0" fontId="23" fillId="0" borderId="15" xfId="0" applyFont="1" applyBorder="1" applyAlignment="1">
      <alignment horizontal="left" vertical="center"/>
    </xf>
    <xf numFmtId="0" fontId="11" fillId="0" borderId="78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1" fillId="0" borderId="79" xfId="0" applyFont="1" applyBorder="1" applyAlignment="1">
      <alignment horizontal="left" vertical="center"/>
    </xf>
    <xf numFmtId="0" fontId="11" fillId="0" borderId="80" xfId="0" applyFont="1" applyBorder="1" applyAlignment="1">
      <alignment horizontal="left" vertical="center"/>
    </xf>
    <xf numFmtId="0" fontId="11" fillId="0" borderId="81" xfId="0" applyFont="1" applyBorder="1" applyAlignment="1">
      <alignment horizontal="left" vertical="center"/>
    </xf>
    <xf numFmtId="0" fontId="11" fillId="0" borderId="15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1" fillId="0" borderId="51" xfId="0" applyFont="1" applyBorder="1" applyAlignment="1">
      <alignment horizontal="left"/>
    </xf>
    <xf numFmtId="0" fontId="17" fillId="9" borderId="67" xfId="0" applyFont="1" applyFill="1" applyBorder="1" applyAlignment="1">
      <alignment horizontal="center" vertical="center" wrapText="1"/>
    </xf>
    <xf numFmtId="0" fontId="9" fillId="12" borderId="85" xfId="0" applyFont="1" applyFill="1" applyBorder="1" applyAlignment="1">
      <alignment horizontal="center" vertical="center" wrapText="1"/>
    </xf>
    <xf numFmtId="0" fontId="12" fillId="14" borderId="71" xfId="0" applyFont="1" applyFill="1" applyBorder="1" applyAlignment="1">
      <alignment horizontal="center" vertical="center"/>
    </xf>
    <xf numFmtId="0" fontId="12" fillId="6" borderId="71" xfId="0" applyFont="1" applyFill="1" applyBorder="1" applyAlignment="1">
      <alignment horizontal="center" vertical="center"/>
    </xf>
    <xf numFmtId="0" fontId="12" fillId="7" borderId="86" xfId="0" applyFont="1" applyFill="1" applyBorder="1" applyAlignment="1">
      <alignment horizontal="center" vertical="center" wrapText="1"/>
    </xf>
    <xf numFmtId="0" fontId="12" fillId="6" borderId="72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7" fillId="0" borderId="51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left"/>
    </xf>
    <xf numFmtId="0" fontId="28" fillId="5" borderId="87" xfId="0" applyFont="1" applyFill="1" applyBorder="1" applyAlignment="1">
      <alignment horizontal="center" vertical="center" wrapText="1"/>
    </xf>
    <xf numFmtId="0" fontId="12" fillId="14" borderId="67" xfId="0" applyFont="1" applyFill="1" applyBorder="1" applyAlignment="1">
      <alignment horizontal="center" vertical="center"/>
    </xf>
    <xf numFmtId="0" fontId="12" fillId="7" borderId="83" xfId="0" applyFont="1" applyFill="1" applyBorder="1" applyAlignment="1">
      <alignment horizontal="center" vertical="center" wrapText="1"/>
    </xf>
    <xf numFmtId="0" fontId="26" fillId="5" borderId="71" xfId="0" applyFont="1" applyFill="1" applyBorder="1" applyAlignment="1">
      <alignment horizontal="center" vertical="center" wrapText="1"/>
    </xf>
    <xf numFmtId="0" fontId="17" fillId="9" borderId="14" xfId="0" applyFont="1" applyFill="1" applyBorder="1" applyAlignment="1">
      <alignment horizontal="center" vertical="center" wrapText="1"/>
    </xf>
    <xf numFmtId="0" fontId="17" fillId="8" borderId="14" xfId="0" applyFont="1" applyFill="1" applyBorder="1" applyAlignment="1">
      <alignment horizontal="center" vertical="center" wrapText="1"/>
    </xf>
    <xf numFmtId="0" fontId="9" fillId="12" borderId="16" xfId="0" applyFont="1" applyFill="1" applyBorder="1" applyAlignment="1">
      <alignment horizontal="center" vertical="center" wrapText="1"/>
    </xf>
    <xf numFmtId="0" fontId="12" fillId="14" borderId="14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10" fillId="0" borderId="15" xfId="0" applyFont="1" applyBorder="1" applyAlignment="1">
      <alignment horizontal="left" vertical="top"/>
    </xf>
    <xf numFmtId="0" fontId="28" fillId="5" borderId="43" xfId="0" applyFont="1" applyFill="1" applyBorder="1" applyAlignment="1">
      <alignment horizontal="center" vertical="top"/>
    </xf>
    <xf numFmtId="0" fontId="17" fillId="9" borderId="14" xfId="0" applyFont="1" applyFill="1" applyBorder="1" applyAlignment="1">
      <alignment horizontal="center" vertical="top"/>
    </xf>
    <xf numFmtId="0" fontId="17" fillId="8" borderId="14" xfId="0" applyFont="1" applyFill="1" applyBorder="1" applyAlignment="1">
      <alignment horizontal="center" vertical="top"/>
    </xf>
    <xf numFmtId="0" fontId="9" fillId="12" borderId="16" xfId="0" applyFont="1" applyFill="1" applyBorder="1" applyAlignment="1">
      <alignment horizontal="center" vertical="top"/>
    </xf>
    <xf numFmtId="0" fontId="13" fillId="6" borderId="14" xfId="0" applyFont="1" applyFill="1" applyBorder="1" applyAlignment="1">
      <alignment horizontal="center" vertical="top"/>
    </xf>
    <xf numFmtId="0" fontId="29" fillId="12" borderId="14" xfId="0" applyFont="1" applyFill="1" applyBorder="1" applyAlignment="1">
      <alignment horizontal="center" vertical="top"/>
    </xf>
    <xf numFmtId="0" fontId="12" fillId="0" borderId="14" xfId="0" applyFont="1" applyBorder="1" applyAlignment="1">
      <alignment horizontal="center" vertical="top"/>
    </xf>
    <xf numFmtId="0" fontId="11" fillId="0" borderId="55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top"/>
    </xf>
    <xf numFmtId="0" fontId="20" fillId="6" borderId="89" xfId="0" applyFont="1" applyFill="1" applyBorder="1" applyAlignment="1">
      <alignment horizontal="center" vertical="center"/>
    </xf>
    <xf numFmtId="0" fontId="11" fillId="0" borderId="88" xfId="0" applyFont="1" applyBorder="1" applyAlignment="1">
      <alignment horizontal="left"/>
    </xf>
    <xf numFmtId="0" fontId="11" fillId="0" borderId="90" xfId="0" applyFont="1" applyBorder="1" applyAlignment="1">
      <alignment horizontal="left" vertical="center"/>
    </xf>
    <xf numFmtId="0" fontId="0" fillId="15" borderId="0" xfId="0" applyFill="1" applyAlignment="1">
      <alignment horizontal="left" vertical="top"/>
    </xf>
    <xf numFmtId="0" fontId="4" fillId="16" borderId="0" xfId="0" applyFont="1" applyFill="1" applyAlignment="1">
      <alignment horizontal="left"/>
    </xf>
    <xf numFmtId="0" fontId="4" fillId="16" borderId="0" xfId="0" applyFont="1" applyFill="1" applyAlignment="1">
      <alignment horizontal="left" vertical="center"/>
    </xf>
    <xf numFmtId="0" fontId="9" fillId="16" borderId="0" xfId="0" applyFont="1" applyFill="1" applyAlignment="1">
      <alignment horizontal="left" vertical="center"/>
    </xf>
    <xf numFmtId="0" fontId="0" fillId="15" borderId="0" xfId="0" applyFill="1"/>
    <xf numFmtId="0" fontId="9" fillId="0" borderId="0" xfId="0" applyFont="1" applyAlignment="1">
      <alignment horizontal="left" vertical="center"/>
    </xf>
    <xf numFmtId="1" fontId="4" fillId="0" borderId="0" xfId="0" applyNumberFormat="1" applyFont="1" applyAlignment="1">
      <alignment horizontal="left"/>
    </xf>
    <xf numFmtId="2" fontId="4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3" fillId="0" borderId="0" xfId="0" applyFont="1"/>
    <xf numFmtId="0" fontId="20" fillId="17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left" vertical="center"/>
    </xf>
    <xf numFmtId="1" fontId="4" fillId="15" borderId="0" xfId="0" applyNumberFormat="1" applyFont="1" applyFill="1" applyAlignment="1">
      <alignment horizontal="left"/>
    </xf>
    <xf numFmtId="2" fontId="4" fillId="15" borderId="0" xfId="0" applyNumberFormat="1" applyFont="1" applyFill="1" applyAlignment="1">
      <alignment horizontal="left"/>
    </xf>
    <xf numFmtId="0" fontId="32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2" fillId="0" borderId="0" xfId="0" applyFont="1"/>
    <xf numFmtId="0" fontId="4" fillId="15" borderId="0" xfId="0" applyFont="1" applyFill="1" applyAlignment="1">
      <alignment horizontal="left"/>
    </xf>
    <xf numFmtId="0" fontId="34" fillId="0" borderId="0" xfId="0" applyFont="1"/>
    <xf numFmtId="0" fontId="5" fillId="18" borderId="0" xfId="0" applyFont="1" applyFill="1"/>
    <xf numFmtId="0" fontId="31" fillId="0" borderId="0" xfId="2"/>
    <xf numFmtId="0" fontId="20" fillId="5" borderId="39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left" vertical="top"/>
    </xf>
    <xf numFmtId="0" fontId="21" fillId="0" borderId="41" xfId="0" applyFont="1" applyBorder="1" applyAlignment="1">
      <alignment horizontal="left" vertical="top"/>
    </xf>
    <xf numFmtId="0" fontId="17" fillId="8" borderId="45" xfId="0" applyFont="1" applyFill="1" applyBorder="1" applyAlignment="1">
      <alignment horizontal="center" vertical="center" wrapText="1"/>
    </xf>
    <xf numFmtId="0" fontId="21" fillId="0" borderId="45" xfId="0" applyFont="1" applyBorder="1" applyAlignment="1">
      <alignment horizontal="left" vertical="top"/>
    </xf>
    <xf numFmtId="0" fontId="17" fillId="8" borderId="69" xfId="0" applyFont="1" applyFill="1" applyBorder="1" applyAlignment="1">
      <alignment horizontal="center" vertical="center" wrapText="1"/>
    </xf>
    <xf numFmtId="0" fontId="21" fillId="0" borderId="70" xfId="0" applyFont="1" applyBorder="1" applyAlignment="1">
      <alignment horizontal="left" vertical="top"/>
    </xf>
    <xf numFmtId="0" fontId="26" fillId="5" borderId="67" xfId="0" applyFont="1" applyFill="1" applyBorder="1" applyAlignment="1">
      <alignment horizontal="center" wrapText="1"/>
    </xf>
    <xf numFmtId="0" fontId="21" fillId="0" borderId="82" xfId="0" applyFont="1" applyBorder="1" applyAlignment="1">
      <alignment horizontal="left" vertical="top"/>
    </xf>
    <xf numFmtId="0" fontId="21" fillId="0" borderId="83" xfId="0" applyFont="1" applyBorder="1" applyAlignment="1">
      <alignment horizontal="left" vertical="top"/>
    </xf>
    <xf numFmtId="0" fontId="17" fillId="8" borderId="84" xfId="0" applyFont="1" applyFill="1" applyBorder="1" applyAlignment="1">
      <alignment horizontal="center" vertical="center" wrapText="1"/>
    </xf>
    <xf numFmtId="0" fontId="17" fillId="8" borderId="39" xfId="0" applyFont="1" applyFill="1" applyBorder="1" applyAlignment="1">
      <alignment horizontal="center" vertical="center" wrapText="1"/>
    </xf>
    <xf numFmtId="0" fontId="21" fillId="0" borderId="52" xfId="0" applyFont="1" applyBorder="1" applyAlignment="1">
      <alignment horizontal="left" vertical="top"/>
    </xf>
    <xf numFmtId="0" fontId="17" fillId="8" borderId="39" xfId="0" applyFont="1" applyFill="1" applyBorder="1" applyAlignment="1">
      <alignment horizontal="center" vertical="top"/>
    </xf>
    <xf numFmtId="0" fontId="1" fillId="0" borderId="0" xfId="0" applyFont="1"/>
    <xf numFmtId="49" fontId="11" fillId="0" borderId="50" xfId="0" applyNumberFormat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4" xfId="1" xr:uid="{7AD8376D-0A27-4D1A-9C00-7CEE103B0D30}"/>
  </cellStyles>
  <dxfs count="38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none"/>
      </fill>
    </dxf>
    <dxf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customschemas.google.com/relationships/workbookmetadata" Target="metadata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lumvi.com/about%20%20/what-is-DLBCL.html?c=gft-18903220006" TargetMode="External"/><Relationship Id="rId1" Type="http://schemas.openxmlformats.org/officeDocument/2006/relationships/hyperlink" Target="https://www.columvi.com/about%20/what-is-DLBCL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olumvi.com/about/what-is-DLBCL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lumvi.com/resources/downloads.html" TargetMode="External"/><Relationship Id="rId2" Type="http://schemas.openxmlformats.org/officeDocument/2006/relationships/hyperlink" Target="https://www.columvi.com/resources/downloads.html" TargetMode="External"/><Relationship Id="rId1" Type="http://schemas.openxmlformats.org/officeDocument/2006/relationships/hyperlink" Target="https://www.columvi.com/resources/downloads.html" TargetMode="External"/><Relationship Id="rId5" Type="http://schemas.openxmlformats.org/officeDocument/2006/relationships/hyperlink" Target="https://www.columvi.com/resources/question%20%20s-to-ask-your-doctor.html" TargetMode="External"/><Relationship Id="rId4" Type="http://schemas.openxmlformats.org/officeDocument/2006/relationships/hyperlink" Target="https://www.columvi.com/resources/downloads.htm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lumvi.com/side-effects/summary.html" TargetMode="External"/><Relationship Id="rId2" Type="http://schemas.openxmlformats.org/officeDocument/2006/relationships/hyperlink" Target="https://www.columvi.com/resources/questions-to-ask-your-doctor.html" TargetMode="External"/><Relationship Id="rId1" Type="http://schemas.openxmlformats.org/officeDocument/2006/relationships/hyperlink" Target="https://www.columvi.com/about/what-is-DLBCL.html" TargetMode="External"/><Relationship Id="rId6" Type="http://schemas.openxmlformats.org/officeDocument/2006/relationships/hyperlink" Target="https://www.columvi.com/resources/sign-up-for-support.html" TargetMode="External"/><Relationship Id="rId5" Type="http://schemas.openxmlformats.org/officeDocument/2006/relationships/hyperlink" Target="https://www.columvi.com/about-columvi/how-it-works.html" TargetMode="External"/><Relationship Id="rId4" Type="http://schemas.openxmlformats.org/officeDocument/2006/relationships/hyperlink" Target="https://www.columvi.com/resources/downloads.html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olumvi.com/financial-support/tool/independent-foundations-gpf.html" TargetMode="External"/><Relationship Id="rId3" Type="http://schemas.openxmlformats.org/officeDocument/2006/relationships/hyperlink" Target="https://www.columvi.com/financial-support/tool/gpf.html" TargetMode="External"/><Relationship Id="rId7" Type="http://schemas.openxmlformats.org/officeDocument/2006/relationships/hyperlink" Target="https://www.columvi.com/financial-support/tool/gpf-financial-eligibility.html" TargetMode="External"/><Relationship Id="rId2" Type="http://schemas.openxmlformats.org/officeDocument/2006/relationships/hyperlink" Target="https://www.columvi.com/about/what-is-DLBCL.html" TargetMode="External"/><Relationship Id="rId1" Type="http://schemas.openxmlformats.org/officeDocument/2006/relationships/hyperlink" Target="https://www.columvi.com/" TargetMode="External"/><Relationship Id="rId6" Type="http://schemas.openxmlformats.org/officeDocument/2006/relationships/hyperlink" Target="https://www.columvi.com/financial-support/tool/contact-specialist-requirements-not-met.html" TargetMode="External"/><Relationship Id="rId5" Type="http://schemas.openxmlformats.org/officeDocument/2006/relationships/hyperlink" Target="https://www.columvi.com/financial-support/tool/contact-foundation-specialist.html" TargetMode="External"/><Relationship Id="rId4" Type="http://schemas.openxmlformats.org/officeDocument/2006/relationships/hyperlink" Target="https://www.columvi.com/financial-support/tool/contact-copay-specialist.html" TargetMode="External"/><Relationship Id="rId9" Type="http://schemas.openxmlformats.org/officeDocument/2006/relationships/hyperlink" Target="https://www.columvi.com/financial-support/case-manager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workbookViewId="0">
      <selection activeCell="F18" sqref="F18"/>
    </sheetView>
  </sheetViews>
  <sheetFormatPr defaultColWidth="12.6640625" defaultRowHeight="15" customHeight="1" x14ac:dyDescent="0.3"/>
  <cols>
    <col min="1" max="1" width="51.21875" customWidth="1"/>
    <col min="2" max="2" width="16.88671875" customWidth="1"/>
    <col min="3" max="26" width="8.6640625" customWidth="1"/>
  </cols>
  <sheetData>
    <row r="1" spans="1:2" ht="14.4" x14ac:dyDescent="0.3">
      <c r="A1" s="1" t="s">
        <v>0</v>
      </c>
      <c r="B1" s="1" t="s">
        <v>1</v>
      </c>
    </row>
    <row r="2" spans="1:2" ht="14.4" x14ac:dyDescent="0.3">
      <c r="A2" s="2" t="s">
        <v>2</v>
      </c>
      <c r="B2" t="s">
        <v>3</v>
      </c>
    </row>
    <row r="3" spans="1:2" ht="14.4" x14ac:dyDescent="0.3">
      <c r="A3" s="2" t="s">
        <v>4</v>
      </c>
      <c r="B3" t="s">
        <v>5</v>
      </c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E23"/>
  <sheetViews>
    <sheetView topLeftCell="CK1" workbookViewId="0">
      <selection activeCell="CL12" sqref="CL12"/>
    </sheetView>
  </sheetViews>
  <sheetFormatPr defaultColWidth="12.6640625" defaultRowHeight="15" customHeight="1" x14ac:dyDescent="0.3"/>
  <cols>
    <col min="1" max="2" width="32" customWidth="1"/>
    <col min="3" max="4" width="33" customWidth="1"/>
    <col min="5" max="5" width="48.77734375" bestFit="1" customWidth="1"/>
    <col min="6" max="7" width="30.109375" customWidth="1"/>
    <col min="8" max="9" width="23.88671875" customWidth="1"/>
    <col min="10" max="11" width="78.109375" bestFit="1" customWidth="1"/>
    <col min="12" max="13" width="29.77734375" customWidth="1"/>
    <col min="14" max="17" width="23.88671875" customWidth="1"/>
    <col min="18" max="19" width="21.33203125" customWidth="1"/>
    <col min="20" max="23" width="23.88671875" customWidth="1"/>
    <col min="24" max="25" width="26.6640625" customWidth="1"/>
    <col min="26" max="29" width="23.88671875" customWidth="1"/>
    <col min="30" max="31" width="27.33203125" customWidth="1"/>
    <col min="32" max="35" width="23.88671875" customWidth="1"/>
    <col min="36" max="37" width="27.33203125" customWidth="1"/>
    <col min="38" max="41" width="23.88671875" customWidth="1"/>
    <col min="42" max="43" width="22" customWidth="1"/>
    <col min="44" max="47" width="23.88671875" customWidth="1"/>
    <col min="48" max="49" width="23.77734375" customWidth="1"/>
    <col min="50" max="53" width="23.88671875" customWidth="1"/>
    <col min="54" max="55" width="23" customWidth="1"/>
    <col min="56" max="59" width="23.88671875" customWidth="1"/>
    <col min="60" max="61" width="27.109375" customWidth="1"/>
    <col min="62" max="65" width="24.88671875" customWidth="1"/>
    <col min="66" max="67" width="29" customWidth="1"/>
    <col min="68" max="71" width="24.88671875" customWidth="1"/>
    <col min="72" max="73" width="29.109375" customWidth="1"/>
    <col min="74" max="74" width="24.77734375" customWidth="1"/>
    <col min="75" max="75" width="28.21875" bestFit="1" customWidth="1"/>
    <col min="76" max="77" width="78.6640625" bestFit="1" customWidth="1"/>
    <col min="78" max="79" width="29" customWidth="1"/>
    <col min="80" max="80" width="24.77734375" customWidth="1"/>
    <col min="81" max="81" width="28.21875" bestFit="1" customWidth="1"/>
    <col min="82" max="82" width="77" bestFit="1" customWidth="1"/>
    <col min="83" max="83" width="24.77734375" customWidth="1"/>
    <col min="84" max="85" width="84" customWidth="1"/>
    <col min="86" max="88" width="26.21875" customWidth="1"/>
    <col min="89" max="89" width="81" bestFit="1" customWidth="1"/>
    <col min="90" max="91" width="81.77734375" customWidth="1"/>
    <col min="92" max="95" width="26.21875" customWidth="1"/>
    <col min="96" max="97" width="79.109375" customWidth="1"/>
    <col min="98" max="101" width="26.21875" customWidth="1"/>
    <col min="102" max="103" width="80.109375" customWidth="1"/>
    <col min="104" max="105" width="26.21875" customWidth="1"/>
    <col min="106" max="107" width="77.88671875" bestFit="1" customWidth="1"/>
    <col min="108" max="108" width="30" customWidth="1"/>
    <col min="109" max="109" width="66.33203125" customWidth="1"/>
  </cols>
  <sheetData>
    <row r="1" spans="1:109" ht="14.4" x14ac:dyDescent="0.3">
      <c r="A1" s="3" t="s">
        <v>6</v>
      </c>
      <c r="B1" s="222" t="s">
        <v>468</v>
      </c>
      <c r="C1" s="3" t="s">
        <v>9</v>
      </c>
      <c r="D1" s="222" t="s">
        <v>469</v>
      </c>
      <c r="E1" s="222" t="s">
        <v>470</v>
      </c>
      <c r="F1" s="3" t="s">
        <v>10</v>
      </c>
      <c r="G1" s="222" t="s">
        <v>471</v>
      </c>
      <c r="H1" s="216" t="s">
        <v>11</v>
      </c>
      <c r="I1" s="223" t="s">
        <v>484</v>
      </c>
      <c r="J1" s="223" t="s">
        <v>458</v>
      </c>
      <c r="K1" s="223" t="s">
        <v>497</v>
      </c>
      <c r="L1" s="3" t="s">
        <v>12</v>
      </c>
      <c r="M1" s="222" t="s">
        <v>472</v>
      </c>
      <c r="N1" s="217" t="s">
        <v>13</v>
      </c>
      <c r="O1" s="224" t="s">
        <v>485</v>
      </c>
      <c r="P1" s="224" t="s">
        <v>458</v>
      </c>
      <c r="Q1" s="224" t="s">
        <v>497</v>
      </c>
      <c r="R1" s="3" t="s">
        <v>14</v>
      </c>
      <c r="S1" s="222" t="s">
        <v>473</v>
      </c>
      <c r="T1" s="217" t="s">
        <v>15</v>
      </c>
      <c r="U1" s="224" t="s">
        <v>486</v>
      </c>
      <c r="V1" s="224" t="s">
        <v>458</v>
      </c>
      <c r="W1" s="224" t="s">
        <v>497</v>
      </c>
      <c r="X1" s="3" t="s">
        <v>16</v>
      </c>
      <c r="Y1" s="222" t="s">
        <v>474</v>
      </c>
      <c r="Z1" s="217" t="s">
        <v>17</v>
      </c>
      <c r="AA1" s="224" t="s">
        <v>487</v>
      </c>
      <c r="AB1" s="224" t="s">
        <v>458</v>
      </c>
      <c r="AC1" s="224" t="s">
        <v>497</v>
      </c>
      <c r="AD1" s="3" t="s">
        <v>18</v>
      </c>
      <c r="AE1" s="222" t="s">
        <v>475</v>
      </c>
      <c r="AF1" s="217" t="s">
        <v>19</v>
      </c>
      <c r="AG1" s="224" t="s">
        <v>488</v>
      </c>
      <c r="AH1" s="224" t="s">
        <v>458</v>
      </c>
      <c r="AI1" s="224" t="s">
        <v>497</v>
      </c>
      <c r="AJ1" s="3" t="s">
        <v>20</v>
      </c>
      <c r="AK1" s="222" t="s">
        <v>476</v>
      </c>
      <c r="AL1" s="217" t="s">
        <v>21</v>
      </c>
      <c r="AM1" s="224" t="s">
        <v>489</v>
      </c>
      <c r="AN1" s="224" t="s">
        <v>458</v>
      </c>
      <c r="AO1" s="224" t="s">
        <v>497</v>
      </c>
      <c r="AP1" s="3" t="s">
        <v>22</v>
      </c>
      <c r="AQ1" s="222" t="s">
        <v>477</v>
      </c>
      <c r="AR1" s="216" t="s">
        <v>23</v>
      </c>
      <c r="AS1" s="223" t="s">
        <v>490</v>
      </c>
      <c r="AT1" s="223" t="s">
        <v>458</v>
      </c>
      <c r="AU1" s="223" t="s">
        <v>497</v>
      </c>
      <c r="AV1" s="3" t="s">
        <v>24</v>
      </c>
      <c r="AW1" s="222" t="s">
        <v>478</v>
      </c>
      <c r="AX1" s="216" t="s">
        <v>25</v>
      </c>
      <c r="AY1" s="223" t="s">
        <v>491</v>
      </c>
      <c r="AZ1" s="223" t="s">
        <v>458</v>
      </c>
      <c r="BA1" s="223" t="s">
        <v>497</v>
      </c>
      <c r="BB1" s="3" t="s">
        <v>26</v>
      </c>
      <c r="BC1" s="222" t="s">
        <v>479</v>
      </c>
      <c r="BD1" s="216" t="s">
        <v>27</v>
      </c>
      <c r="BE1" s="223" t="s">
        <v>492</v>
      </c>
      <c r="BF1" s="223" t="s">
        <v>458</v>
      </c>
      <c r="BG1" s="223" t="s">
        <v>497</v>
      </c>
      <c r="BH1" s="3" t="s">
        <v>28</v>
      </c>
      <c r="BI1" s="222" t="s">
        <v>480</v>
      </c>
      <c r="BJ1" s="216" t="s">
        <v>29</v>
      </c>
      <c r="BK1" s="223" t="s">
        <v>493</v>
      </c>
      <c r="BL1" s="223" t="s">
        <v>458</v>
      </c>
      <c r="BM1" s="223" t="s">
        <v>497</v>
      </c>
      <c r="BN1" s="3" t="s">
        <v>30</v>
      </c>
      <c r="BO1" s="222" t="s">
        <v>481</v>
      </c>
      <c r="BP1" s="216" t="s">
        <v>31</v>
      </c>
      <c r="BQ1" s="223" t="s">
        <v>494</v>
      </c>
      <c r="BR1" s="223" t="s">
        <v>458</v>
      </c>
      <c r="BS1" s="223" t="s">
        <v>497</v>
      </c>
      <c r="BT1" s="216" t="s">
        <v>32</v>
      </c>
      <c r="BU1" s="223" t="s">
        <v>482</v>
      </c>
      <c r="BV1" s="216" t="s">
        <v>33</v>
      </c>
      <c r="BW1" s="223" t="s">
        <v>495</v>
      </c>
      <c r="BX1" s="223" t="s">
        <v>458</v>
      </c>
      <c r="BY1" s="223" t="s">
        <v>497</v>
      </c>
      <c r="BZ1" s="216" t="s">
        <v>34</v>
      </c>
      <c r="CA1" s="223" t="s">
        <v>483</v>
      </c>
      <c r="CB1" s="216" t="s">
        <v>35</v>
      </c>
      <c r="CC1" s="223" t="s">
        <v>496</v>
      </c>
      <c r="CD1" s="223" t="s">
        <v>458</v>
      </c>
      <c r="CE1" s="223" t="s">
        <v>497</v>
      </c>
      <c r="CF1" s="3" t="s">
        <v>36</v>
      </c>
      <c r="CG1" s="222" t="s">
        <v>498</v>
      </c>
      <c r="CH1" s="217" t="s">
        <v>37</v>
      </c>
      <c r="CI1" s="224" t="s">
        <v>502</v>
      </c>
      <c r="CJ1" s="224" t="s">
        <v>506</v>
      </c>
      <c r="CK1" s="224" t="s">
        <v>507</v>
      </c>
      <c r="CL1" s="3" t="s">
        <v>38</v>
      </c>
      <c r="CM1" s="222" t="s">
        <v>499</v>
      </c>
      <c r="CN1" s="217" t="s">
        <v>39</v>
      </c>
      <c r="CO1" s="224" t="s">
        <v>503</v>
      </c>
      <c r="CP1" s="224" t="s">
        <v>506</v>
      </c>
      <c r="CQ1" s="224" t="s">
        <v>507</v>
      </c>
      <c r="CR1" s="3" t="s">
        <v>40</v>
      </c>
      <c r="CS1" s="222" t="s">
        <v>500</v>
      </c>
      <c r="CT1" s="217" t="s">
        <v>41</v>
      </c>
      <c r="CU1" s="224" t="s">
        <v>504</v>
      </c>
      <c r="CV1" s="224" t="s">
        <v>506</v>
      </c>
      <c r="CW1" s="224" t="s">
        <v>507</v>
      </c>
      <c r="CX1" s="3" t="s">
        <v>42</v>
      </c>
      <c r="CY1" s="222" t="s">
        <v>501</v>
      </c>
      <c r="CZ1" s="217" t="s">
        <v>43</v>
      </c>
      <c r="DA1" s="224" t="s">
        <v>505</v>
      </c>
      <c r="DB1" s="224" t="s">
        <v>506</v>
      </c>
      <c r="DC1" s="224" t="s">
        <v>507</v>
      </c>
      <c r="DD1" s="3" t="s">
        <v>44</v>
      </c>
      <c r="DE1" s="3" t="s">
        <v>45</v>
      </c>
    </row>
    <row r="2" spans="1:109" ht="14.4" x14ac:dyDescent="0.3">
      <c r="A2" s="4" t="s">
        <v>46</v>
      </c>
      <c r="B2" s="4" t="str">
        <f>IFERROR(VLOOKUP(A2,'ATP - RSAs'!$A:$A,1,FALSE),"#N/A")</f>
        <v>Unbranded Condition</v>
      </c>
      <c r="C2" s="218" t="s">
        <v>46</v>
      </c>
      <c r="D2" s="218" t="str">
        <f>IFERROR(VLOOKUP(C2,'ATP - RSAs'!$B:$B,1,FALSE),"#N/A")</f>
        <v>Unbranded Condition</v>
      </c>
      <c r="E2" s="218" t="str">
        <f t="shared" ref="E2:E23" si="0">CONCATENATE(A2, " ", C2)</f>
        <v>Unbranded Condition Unbranded Condition</v>
      </c>
      <c r="F2" s="218" t="s">
        <v>49</v>
      </c>
      <c r="G2" s="218" t="str">
        <f>IFERROR(VLOOKUP(F2,'ATP - RSAs'!$C:$C,1,FALSE),"#N/A")</f>
        <v>Treatment Option For 3L+ DLBCL</v>
      </c>
      <c r="H2" s="219">
        <v>1</v>
      </c>
      <c r="I2" s="219">
        <f>IFERROR(VLOOKUP(H2,'ATP - RSAs'!$E:$E,1,FALSE),"#N/A")</f>
        <v>1</v>
      </c>
      <c r="J2" s="219" t="str">
        <f t="shared" ref="J2:J23" si="1">CONCATENATE($E2, " ", F2, " ", H2)</f>
        <v>Unbranded Condition Unbranded Condition Treatment Option For 3L+ DLBCL 1</v>
      </c>
      <c r="K2" s="219" t="e">
        <f>VLOOKUP(J2,'ATP - RSAs'!$N:$N,1,FALSE)</f>
        <v>#N/A</v>
      </c>
      <c r="L2" s="218" t="s">
        <v>50</v>
      </c>
      <c r="M2" s="218" t="str">
        <f>IFERROR(VLOOKUP(L2,'ATP - RSAs'!$C:$C,1,FALSE),"#N/A")</f>
        <v>Download The Patient Brochure</v>
      </c>
      <c r="N2" s="219" t="s">
        <v>51</v>
      </c>
      <c r="O2" s="219" t="str">
        <f>IFERROR(VLOOKUP(N2,'ATP - RSAs'!$E:$E,1,FALSE),"#N/A")</f>
        <v>2 or 3</v>
      </c>
      <c r="P2" s="219" t="str">
        <f t="shared" ref="P2:P23" si="2">CONCATENATE($E2, " ", L2, " ", N2)</f>
        <v>Unbranded Condition Unbranded Condition Download The Patient Brochure 2 or 3</v>
      </c>
      <c r="Q2" s="219" t="str">
        <f>VLOOKUP(P2,'ATP - RSAs'!$N:$N,1,FALSE)</f>
        <v>Unbranded Condition Unbranded Condition Download The Patient Brochure 2 or 3</v>
      </c>
      <c r="R2" s="218" t="s">
        <v>52</v>
      </c>
      <c r="S2" s="218" t="str">
        <f>IFERROR(VLOOKUP(R2,'ATP - RSAs'!$C:$C,1,FALSE),"#N/A")</f>
        <v>Resources For Patients</v>
      </c>
      <c r="T2" s="219" t="s">
        <v>51</v>
      </c>
      <c r="U2" s="219" t="str">
        <f>IFERROR(VLOOKUP(T2,'ATP - RSAs'!$E:$E,1,FALSE),"#N/A")</f>
        <v>2 or 3</v>
      </c>
      <c r="V2" s="219" t="str">
        <f t="shared" ref="V2:V23" si="3">CONCATENATE($E2, " ", R2, " ", T2)</f>
        <v>Unbranded Condition Unbranded Condition Resources For Patients 2 or 3</v>
      </c>
      <c r="W2" s="219" t="str">
        <f>VLOOKUP(V2,'ATP - RSAs'!$N:$N,1,FALSE)</f>
        <v>Unbranded Condition Unbranded Condition Resources For Patients 2 or 3</v>
      </c>
      <c r="X2" s="218" t="s">
        <v>53</v>
      </c>
      <c r="Y2" s="218" t="str">
        <f>IFERROR(VLOOKUP(X2,'ATP - RSAs'!$C:$C,1,FALSE),"#N/A")</f>
        <v>Financial Assistance Options</v>
      </c>
      <c r="Z2" s="219" t="s">
        <v>51</v>
      </c>
      <c r="AA2" s="219" t="str">
        <f>IFERROR(VLOOKUP(Z2,'ATP - RSAs'!$E:$E,1,FALSE),"#N/A")</f>
        <v>2 or 3</v>
      </c>
      <c r="AB2" s="219" t="str">
        <f t="shared" ref="AB2:AB23" si="4">CONCATENATE($E2, " ", X2, " ", Z2)</f>
        <v>Unbranded Condition Unbranded Condition Financial Assistance Options 2 or 3</v>
      </c>
      <c r="AC2" s="219" t="str">
        <f>VLOOKUP(AB2,'ATP - RSAs'!$N:$N,1,FALSE)</f>
        <v>Unbranded Condition Unbranded Condition Financial Assistance Options 2 or 3</v>
      </c>
      <c r="AD2" s="218" t="s">
        <v>54</v>
      </c>
      <c r="AE2" s="218" t="str">
        <f>IFERROR(VLOOKUP(AD2,'ATP - RSAs'!$C:$C,1,FALSE),"#N/A")</f>
        <v>Important Safety Information</v>
      </c>
      <c r="AF2" s="219" t="s">
        <v>51</v>
      </c>
      <c r="AG2" s="219" t="str">
        <f>IFERROR(VLOOKUP(AF2,'ATP - RSAs'!$E:$E,1,FALSE),"#N/A")</f>
        <v>2 or 3</v>
      </c>
      <c r="AH2" s="219" t="str">
        <f t="shared" ref="AH2:AH23" si="5">CONCATENATE($E2, " ", AD2, " ", AF2)</f>
        <v>Unbranded Condition Unbranded Condition Important Safety Information 2 or 3</v>
      </c>
      <c r="AI2" s="219" t="str">
        <f>VLOOKUP(AH2,'ATP - RSAs'!$N:$N,1,FALSE)</f>
        <v>Unbranded Condition Unbranded Condition Important Safety Information 2 or 3</v>
      </c>
      <c r="AJ2" s="218" t="s">
        <v>55</v>
      </c>
      <c r="AK2" s="218" t="str">
        <f>IFERROR(VLOOKUP(AJ2,'ATP - RSAs'!$C:$C,1,FALSE),"#N/A")</f>
        <v>Questions To Ask Your Doctor</v>
      </c>
      <c r="AL2" s="219" t="s">
        <v>51</v>
      </c>
      <c r="AM2" s="219" t="str">
        <f>IFERROR(VLOOKUP(AL2,'ATP - RSAs'!$E:$E,1,FALSE),"#N/A")</f>
        <v>2 or 3</v>
      </c>
      <c r="AN2" s="219" t="str">
        <f t="shared" ref="AN2:AN23" si="6">CONCATENATE($E2, " ", AJ2, " ", AL2)</f>
        <v>Unbranded Condition Unbranded Condition Questions To Ask Your Doctor 2 or 3</v>
      </c>
      <c r="AO2" s="219" t="str">
        <f>VLOOKUP(AN2,'ATP - RSAs'!$N:$N,1,FALSE)</f>
        <v>Unbranded Condition Unbranded Condition Questions To Ask Your Doctor 2 or 3</v>
      </c>
      <c r="AP2" s="218" t="s">
        <v>56</v>
      </c>
      <c r="AQ2" s="218" t="str">
        <f>IFERROR(VLOOKUP(AP2,'ATP - RSAs'!$C:$C,1,FALSE),"#N/A")</f>
        <v>DLBCL Infusion Therapy</v>
      </c>
      <c r="AR2" s="219" t="s">
        <v>51</v>
      </c>
      <c r="AS2" s="219" t="str">
        <f>IFERROR(VLOOKUP(AR2,'ATP - RSAs'!$E:$E,1,FALSE),"#N/A")</f>
        <v>2 or 3</v>
      </c>
      <c r="AT2" s="219" t="str">
        <f t="shared" ref="AT2:AT23" si="7">CONCATENATE($E2, " ", AP2, " ", AR2)</f>
        <v>Unbranded Condition Unbranded Condition DLBCL Infusion Therapy 2 or 3</v>
      </c>
      <c r="AU2" s="219" t="str">
        <f>VLOOKUP(AT2,'ATP - RSAs'!$N:$N,1,FALSE)</f>
        <v>Unbranded Condition Unbranded Condition DLBCL Infusion Therapy 2 or 3</v>
      </c>
      <c r="AV2" s="218" t="s">
        <v>57</v>
      </c>
      <c r="AW2" s="218" t="str">
        <f>IFERROR(VLOOKUP(AV2,'ATP - RSAs'!$C:$C,1,FALSE),"#N/A")</f>
        <v>Clinical Trial Results</v>
      </c>
      <c r="AX2" s="219" t="s">
        <v>51</v>
      </c>
      <c r="AY2" s="219" t="str">
        <f>IFERROR(VLOOKUP(AX2,'ATP - RSAs'!$E:$E,1,FALSE),"#N/A")</f>
        <v>2 or 3</v>
      </c>
      <c r="AZ2" s="219" t="str">
        <f t="shared" ref="AZ2:AZ23" si="8">CONCATENATE($E2, " ", AV2, " ", AX2)</f>
        <v>Unbranded Condition Unbranded Condition Clinical Trial Results 2 or 3</v>
      </c>
      <c r="BA2" s="219" t="str">
        <f>VLOOKUP(AZ2,'ATP - RSAs'!$N:$N,1,FALSE)</f>
        <v>Unbranded Condition Unbranded Condition Clinical Trial Results 2 or 3</v>
      </c>
      <c r="BB2" s="218" t="s">
        <v>58</v>
      </c>
      <c r="BC2" s="218" t="str">
        <f>IFERROR(VLOOKUP(BB2,'ATP - RSAs'!$C:$C,1,FALSE),"#N/A")</f>
        <v>Information For Patients</v>
      </c>
      <c r="BD2" s="219" t="s">
        <v>51</v>
      </c>
      <c r="BE2" s="219" t="str">
        <f>IFERROR(VLOOKUP(BD2,'ATP - RSAs'!$E:$E,1,FALSE),"#N/A")</f>
        <v>2 or 3</v>
      </c>
      <c r="BF2" s="219" t="str">
        <f t="shared" ref="BF2:BF23" si="9">CONCATENATE($E2, " ", BB2, " ", BD2)</f>
        <v>Unbranded Condition Unbranded Condition Information For Patients 2 or 3</v>
      </c>
      <c r="BG2" s="219" t="str">
        <f>VLOOKUP(BF2,'ATP - RSAs'!$N:$N,1,FALSE)</f>
        <v>Unbranded Condition Unbranded Condition Information For Patients 2 or 3</v>
      </c>
      <c r="BH2" s="218" t="s">
        <v>59</v>
      </c>
      <c r="BI2" s="218" t="str">
        <f>IFERROR(VLOOKUP(BH2,'ATP - RSAs'!$C:$C,1,FALSE),"#N/A")</f>
        <v>Efficacy &amp; Safety Information</v>
      </c>
      <c r="BJ2" s="219" t="s">
        <v>51</v>
      </c>
      <c r="BK2" s="219" t="str">
        <f>IFERROR(VLOOKUP(BJ2,'ATP - RSAs'!$E:$E,1,FALSE),"#N/A")</f>
        <v>2 or 3</v>
      </c>
      <c r="BL2" s="219" t="str">
        <f t="shared" ref="BL2:BL23" si="10">CONCATENATE($E2, " ", BH2, " ", BJ2)</f>
        <v>Unbranded Condition Unbranded Condition Efficacy &amp; Safety Information 2 or 3</v>
      </c>
      <c r="BM2" s="219" t="str">
        <f>VLOOKUP(BL2,'ATP - RSAs'!$N:$N,1,FALSE)</f>
        <v>Unbranded Condition Unbranded Condition Efficacy &amp; Safety Information 2 or 3</v>
      </c>
      <c r="BN2" s="218" t="s">
        <v>60</v>
      </c>
      <c r="BO2" s="218" t="str">
        <f>IFERROR(VLOOKUP(BN2,'ATP - RSAs'!$C:$C,1,FALSE),"#N/A")</f>
        <v>About DLBCL</v>
      </c>
      <c r="BP2" s="219" t="s">
        <v>51</v>
      </c>
      <c r="BQ2" s="219" t="str">
        <f>IFERROR(VLOOKUP(BP2,'ATP - RSAs'!$E:$E,1,FALSE),"#N/A")</f>
        <v>2 or 3</v>
      </c>
      <c r="BR2" s="219" t="str">
        <f t="shared" ref="BR2:BR23" si="11">CONCATENATE($E2, " ", BN2, " ", BP2)</f>
        <v>Unbranded Condition Unbranded Condition About DLBCL 2 or 3</v>
      </c>
      <c r="BS2" s="219" t="str">
        <f>VLOOKUP(BR2,'ATP - RSAs'!$N:$N,1,FALSE)</f>
        <v>Unbranded Condition Unbranded Condition About DLBCL 2 or 3</v>
      </c>
      <c r="BT2" s="218" t="s">
        <v>61</v>
      </c>
      <c r="BU2" s="218" t="str">
        <f>IFERROR(VLOOKUP(BT2,'ATP - RSAs'!$C:$C,1,FALSE),"#N/A")</f>
        <v>3L+ DLBCL Treatment Support</v>
      </c>
      <c r="BV2" s="219" t="s">
        <v>51</v>
      </c>
      <c r="BW2" s="219" t="str">
        <f>IFERROR(VLOOKUP(BV2,'ATP - RSAs'!$E:$E,1,FALSE),"#N/A")</f>
        <v>2 or 3</v>
      </c>
      <c r="BX2" s="219" t="str">
        <f t="shared" ref="BX2:BX23" si="12">CONCATENATE($E2, " ", BT2, " ", BV2)</f>
        <v>Unbranded Condition Unbranded Condition 3L+ DLBCL Treatment Support 2 or 3</v>
      </c>
      <c r="BY2" s="219" t="str">
        <f>VLOOKUP(BX2,'ATP - RSAs'!$N:$N,1,FALSE)</f>
        <v>Unbranded Condition Unbranded Condition 3L+ DLBCL Treatment Support 2 or 3</v>
      </c>
      <c r="BZ2" s="218" t="s">
        <v>62</v>
      </c>
      <c r="CA2" s="218" t="str">
        <f>IFERROR(VLOOKUP(BZ2,'ATP - RSAs'!$C:$C,1,FALSE),"#N/A")</f>
        <v>3L+ DLBCL Patient Resources</v>
      </c>
      <c r="CB2" s="219" t="s">
        <v>51</v>
      </c>
      <c r="CC2" s="219" t="str">
        <f>IFERROR(VLOOKUP(CB2,'ATP - RSAs'!$E:$E,1,FALSE),"#N/A")</f>
        <v>2 or 3</v>
      </c>
      <c r="CD2" s="219" t="str">
        <f t="shared" ref="CD2:CD23" si="13">CONCATENATE($E2, " ", BZ2, " ", CB2)</f>
        <v>Unbranded Condition Unbranded Condition 3L+ DLBCL Patient Resources 2 or 3</v>
      </c>
      <c r="CE2" s="219" t="str">
        <f>VLOOKUP(CD2,'ATP - RSAs'!$N:$N,1,FALSE)</f>
        <v>Unbranded Condition Unbranded Condition 3L+ DLBCL Patient Resources 2 or 3</v>
      </c>
      <c r="CF2" s="218" t="s">
        <v>63</v>
      </c>
      <c r="CG2" s="218" t="str">
        <f>IFERROR(VLOOKUP(CF2,'ATP - RSAs'!$F:$F,1,FALSE),"#N/A")</f>
        <v>Discover A Fixed-Duration Treatment Option For 3L+ DLBCL And View Important Safety Info.</v>
      </c>
      <c r="CH2" s="219" t="s">
        <v>64</v>
      </c>
      <c r="CI2" s="219" t="str">
        <f>IFERROR(VLOOKUP(CH2,'ATP - RSAs'!$H:$H,1,FALSE),"#N/A")</f>
        <v>Any</v>
      </c>
      <c r="CJ2" s="219" t="str">
        <f t="shared" ref="CJ2:CJ23" si="14">CONCATENATE(CF2, " ", CH2)</f>
        <v>Discover A Fixed-Duration Treatment Option For 3L+ DLBCL And View Important Safety Info. Any</v>
      </c>
      <c r="CK2" s="219" t="str">
        <f>VLOOKUP(CJ2,'ATP - RSAs'!$O:$O,1,FALSE)</f>
        <v>Discover A Fixed-Duration Treatment Option For 3L+ DLBCL And View Important Safety Info. Any</v>
      </c>
      <c r="CL2" s="218" t="s">
        <v>65</v>
      </c>
      <c r="CM2" s="218" t="str">
        <f>IFERROR(VLOOKUP(CL2,'ATP - RSAs'!$F:$F,1,FALSE),"#N/A")</f>
        <v>Download The Patient Brochure To Learn More About A DLBCL Fixed-Duration Treatment.</v>
      </c>
      <c r="CN2" s="219" t="s">
        <v>64</v>
      </c>
      <c r="CO2" s="219" t="str">
        <f>IFERROR(VLOOKUP(CN2,'ATP - RSAs'!$H:$H,1,FALSE),"#N/A")</f>
        <v>Any</v>
      </c>
      <c r="CP2" s="219" t="str">
        <f t="shared" ref="CP2:CP23" si="15">CONCATENATE(CL2, " ", CN2)</f>
        <v>Download The Patient Brochure To Learn More About A DLBCL Fixed-Duration Treatment. Any</v>
      </c>
      <c r="CQ2" s="219" t="str">
        <f>VLOOKUP(CP2,'ATP - RSAs'!$O:$O,1,FALSE)</f>
        <v>Download The Patient Brochure To Learn More About A DLBCL Fixed-Duration Treatment. Any</v>
      </c>
      <c r="CR2" s="218" t="s">
        <v>66</v>
      </c>
      <c r="CS2" s="218" t="str">
        <f>IFERROR(VLOOKUP(CR2,'ATP - RSAs'!$F:$F,1,FALSE),"#N/A")</f>
        <v>Explore An Infusion Option For Diffuse Large B Cell Lymphoma &amp; View Clinical Results.</v>
      </c>
      <c r="CT2" s="219" t="s">
        <v>64</v>
      </c>
      <c r="CU2" s="219" t="str">
        <f>IFERROR(VLOOKUP(CT2,'ATP - RSAs'!$H:$H,1,FALSE),"#N/A")</f>
        <v>Any</v>
      </c>
      <c r="CV2" s="219" t="str">
        <f t="shared" ref="CV2:CV23" si="16">CONCATENATE(CR2, " ", CT2)</f>
        <v>Explore An Infusion Option For Diffuse Large B Cell Lymphoma &amp; View Clinical Results. Any</v>
      </c>
      <c r="CW2" s="219" t="str">
        <f>VLOOKUP(CV2,'ATP - RSAs'!$O:$O,1,FALSE)</f>
        <v>Explore An Infusion Option For Diffuse Large B Cell Lymphoma &amp; View Clinical Results. Any</v>
      </c>
      <c r="CX2" s="218" t="s">
        <v>67</v>
      </c>
      <c r="CY2" s="218" t="str">
        <f>IFERROR(VLOOKUP(CX2,'ATP - RSAs'!$F:$F,1,FALSE),"#N/A")</f>
        <v>Learn More About Starting Treatment For 3L+ DLBCL After Two Or More Prior Therapies</v>
      </c>
      <c r="CZ2" s="219" t="s">
        <v>64</v>
      </c>
      <c r="DA2" s="219" t="str">
        <f>IFERROR(VLOOKUP(CZ2,'ATP - RSAs'!$H:$H,1,FALSE),"#N/A")</f>
        <v>Any</v>
      </c>
      <c r="DB2" s="219" t="str">
        <f t="shared" ref="DB2:DB23" si="17">CONCATENATE(CX2, " ", CZ2)</f>
        <v>Learn More About Starting Treatment For 3L+ DLBCL After Two Or More Prior Therapies Any</v>
      </c>
      <c r="DC2" s="219" t="str">
        <f>VLOOKUP(DB2,'ATP - RSAs'!$O:$O,1,FALSE)</f>
        <v>Learn More About Starting Treatment For 3L+ DLBCL After Two Or More Prior Therapies Any</v>
      </c>
      <c r="DD2" s="218" t="s">
        <v>68</v>
      </c>
      <c r="DE2" s="2" t="s">
        <v>69</v>
      </c>
    </row>
    <row r="3" spans="1:109" ht="14.4" x14ac:dyDescent="0.3">
      <c r="A3" s="4" t="s">
        <v>46</v>
      </c>
      <c r="B3" s="4" t="str">
        <f>IFERROR(VLOOKUP(A3,'ATP - RSAs'!$A:$A,1,FALSE),"#N/A")</f>
        <v>Unbranded Condition</v>
      </c>
      <c r="C3" s="218" t="s">
        <v>71</v>
      </c>
      <c r="D3" s="218" t="str">
        <f>IFERROR(VLOOKUP(C3,'ATP - RSAs'!$B:$B,1,FALSE),"#N/A")</f>
        <v>Unbranded DLBCL Causes</v>
      </c>
      <c r="E3" s="218" t="str">
        <f t="shared" si="0"/>
        <v>Unbranded Condition Unbranded DLBCL Causes</v>
      </c>
      <c r="F3" s="218" t="s">
        <v>49</v>
      </c>
      <c r="G3" s="218" t="str">
        <f>IFERROR(VLOOKUP(F3,'ATP - RSAs'!$C:$C,1,FALSE),"#N/A")</f>
        <v>Treatment Option For 3L+ DLBCL</v>
      </c>
      <c r="H3" s="219">
        <v>1</v>
      </c>
      <c r="I3" s="219">
        <f>IFERROR(VLOOKUP(H3,'ATP - RSAs'!$E:$E,1,FALSE),"#N/A")</f>
        <v>1</v>
      </c>
      <c r="J3" s="219" t="str">
        <f t="shared" si="1"/>
        <v>Unbranded Condition Unbranded DLBCL Causes Treatment Option For 3L+ DLBCL 1</v>
      </c>
      <c r="K3" s="219" t="str">
        <f>VLOOKUP(J3,'ATP - RSAs'!$N:$N,1,FALSE)</f>
        <v>Unbranded Condition Unbranded DLBCL Causes Treatment Option For 3L+ DLBCL 1</v>
      </c>
      <c r="L3" s="218" t="s">
        <v>50</v>
      </c>
      <c r="M3" s="218" t="str">
        <f>IFERROR(VLOOKUP(L3,'ATP - RSAs'!$C:$C,1,FALSE),"#N/A")</f>
        <v>Download The Patient Brochure</v>
      </c>
      <c r="N3" s="219" t="s">
        <v>51</v>
      </c>
      <c r="O3" s="219" t="str">
        <f>IFERROR(VLOOKUP(N3,'ATP - RSAs'!$E:$E,1,FALSE),"#N/A")</f>
        <v>2 or 3</v>
      </c>
      <c r="P3" s="219" t="str">
        <f t="shared" si="2"/>
        <v>Unbranded Condition Unbranded DLBCL Causes Download The Patient Brochure 2 or 3</v>
      </c>
      <c r="Q3" s="219" t="str">
        <f>VLOOKUP(P3,'ATP - RSAs'!$N:$N,1,FALSE)</f>
        <v>Unbranded Condition Unbranded DLBCL Causes Download The Patient Brochure 2 or 3</v>
      </c>
      <c r="R3" s="218" t="s">
        <v>52</v>
      </c>
      <c r="S3" s="218" t="str">
        <f>IFERROR(VLOOKUP(R3,'ATP - RSAs'!$C:$C,1,FALSE),"#N/A")</f>
        <v>Resources For Patients</v>
      </c>
      <c r="T3" s="219" t="s">
        <v>51</v>
      </c>
      <c r="U3" s="219" t="str">
        <f>IFERROR(VLOOKUP(T3,'ATP - RSAs'!$E:$E,1,FALSE),"#N/A")</f>
        <v>2 or 3</v>
      </c>
      <c r="V3" s="219" t="str">
        <f t="shared" si="3"/>
        <v>Unbranded Condition Unbranded DLBCL Causes Resources For Patients 2 or 3</v>
      </c>
      <c r="W3" s="219" t="str">
        <f>VLOOKUP(V3,'ATP - RSAs'!$N:$N,1,FALSE)</f>
        <v>Unbranded Condition Unbranded DLBCL Causes Resources For Patients 2 or 3</v>
      </c>
      <c r="X3" s="218" t="s">
        <v>53</v>
      </c>
      <c r="Y3" s="218" t="str">
        <f>IFERROR(VLOOKUP(X3,'ATP - RSAs'!$C:$C,1,FALSE),"#N/A")</f>
        <v>Financial Assistance Options</v>
      </c>
      <c r="Z3" s="219" t="s">
        <v>51</v>
      </c>
      <c r="AA3" s="219" t="str">
        <f>IFERROR(VLOOKUP(Z3,'ATP - RSAs'!$E:$E,1,FALSE),"#N/A")</f>
        <v>2 or 3</v>
      </c>
      <c r="AB3" s="219" t="str">
        <f t="shared" si="4"/>
        <v>Unbranded Condition Unbranded DLBCL Causes Financial Assistance Options 2 or 3</v>
      </c>
      <c r="AC3" s="219" t="str">
        <f>VLOOKUP(AB3,'ATP - RSAs'!$N:$N,1,FALSE)</f>
        <v>Unbranded Condition Unbranded DLBCL Causes Financial Assistance Options 2 or 3</v>
      </c>
      <c r="AD3" s="218" t="s">
        <v>54</v>
      </c>
      <c r="AE3" s="218" t="str">
        <f>IFERROR(VLOOKUP(AD3,'ATP - RSAs'!$C:$C,1,FALSE),"#N/A")</f>
        <v>Important Safety Information</v>
      </c>
      <c r="AF3" s="219" t="s">
        <v>51</v>
      </c>
      <c r="AG3" s="219" t="str">
        <f>IFERROR(VLOOKUP(AF3,'ATP - RSAs'!$E:$E,1,FALSE),"#N/A")</f>
        <v>2 or 3</v>
      </c>
      <c r="AH3" s="219" t="str">
        <f t="shared" si="5"/>
        <v>Unbranded Condition Unbranded DLBCL Causes Important Safety Information 2 or 3</v>
      </c>
      <c r="AI3" s="219" t="str">
        <f>VLOOKUP(AH3,'ATP - RSAs'!$N:$N,1,FALSE)</f>
        <v>Unbranded Condition Unbranded DLBCL Causes Important Safety Information 2 or 3</v>
      </c>
      <c r="AJ3" s="218" t="s">
        <v>55</v>
      </c>
      <c r="AK3" s="218" t="str">
        <f>IFERROR(VLOOKUP(AJ3,'ATP - RSAs'!$C:$C,1,FALSE),"#N/A")</f>
        <v>Questions To Ask Your Doctor</v>
      </c>
      <c r="AL3" s="219" t="s">
        <v>51</v>
      </c>
      <c r="AM3" s="219" t="str">
        <f>IFERROR(VLOOKUP(AL3,'ATP - RSAs'!$E:$E,1,FALSE),"#N/A")</f>
        <v>2 or 3</v>
      </c>
      <c r="AN3" s="219" t="str">
        <f t="shared" si="6"/>
        <v>Unbranded Condition Unbranded DLBCL Causes Questions To Ask Your Doctor 2 or 3</v>
      </c>
      <c r="AO3" s="219" t="str">
        <f>VLOOKUP(AN3,'ATP - RSAs'!$N:$N,1,FALSE)</f>
        <v>Unbranded Condition Unbranded DLBCL Causes Questions To Ask Your Doctor 2 or 3</v>
      </c>
      <c r="AP3" s="218" t="s">
        <v>56</v>
      </c>
      <c r="AQ3" s="218" t="str">
        <f>IFERROR(VLOOKUP(AP3,'ATP - RSAs'!$C:$C,1,FALSE),"#N/A")</f>
        <v>DLBCL Infusion Therapy</v>
      </c>
      <c r="AR3" s="219" t="s">
        <v>51</v>
      </c>
      <c r="AS3" s="219" t="str">
        <f>IFERROR(VLOOKUP(AR3,'ATP - RSAs'!$E:$E,1,FALSE),"#N/A")</f>
        <v>2 or 3</v>
      </c>
      <c r="AT3" s="219" t="str">
        <f t="shared" si="7"/>
        <v>Unbranded Condition Unbranded DLBCL Causes DLBCL Infusion Therapy 2 or 3</v>
      </c>
      <c r="AU3" s="219" t="str">
        <f>VLOOKUP(AT3,'ATP - RSAs'!$N:$N,1,FALSE)</f>
        <v>Unbranded Condition Unbranded DLBCL Causes DLBCL Infusion Therapy 2 or 3</v>
      </c>
      <c r="AV3" s="218" t="s">
        <v>57</v>
      </c>
      <c r="AW3" s="218" t="str">
        <f>IFERROR(VLOOKUP(AV3,'ATP - RSAs'!$C:$C,1,FALSE),"#N/A")</f>
        <v>Clinical Trial Results</v>
      </c>
      <c r="AX3" s="219" t="s">
        <v>51</v>
      </c>
      <c r="AY3" s="219" t="str">
        <f>IFERROR(VLOOKUP(AX3,'ATP - RSAs'!$E:$E,1,FALSE),"#N/A")</f>
        <v>2 or 3</v>
      </c>
      <c r="AZ3" s="219" t="str">
        <f t="shared" si="8"/>
        <v>Unbranded Condition Unbranded DLBCL Causes Clinical Trial Results 2 or 3</v>
      </c>
      <c r="BA3" s="219" t="str">
        <f>VLOOKUP(AZ3,'ATP - RSAs'!$N:$N,1,FALSE)</f>
        <v>Unbranded Condition Unbranded DLBCL Causes Clinical Trial Results 2 or 3</v>
      </c>
      <c r="BB3" s="218" t="s">
        <v>58</v>
      </c>
      <c r="BC3" s="218" t="str">
        <f>IFERROR(VLOOKUP(BB3,'ATP - RSAs'!$C:$C,1,FALSE),"#N/A")</f>
        <v>Information For Patients</v>
      </c>
      <c r="BD3" s="219" t="s">
        <v>51</v>
      </c>
      <c r="BE3" s="219" t="str">
        <f>IFERROR(VLOOKUP(BD3,'ATP - RSAs'!$E:$E,1,FALSE),"#N/A")</f>
        <v>2 or 3</v>
      </c>
      <c r="BF3" s="219" t="str">
        <f t="shared" si="9"/>
        <v>Unbranded Condition Unbranded DLBCL Causes Information For Patients 2 or 3</v>
      </c>
      <c r="BG3" s="219" t="str">
        <f>VLOOKUP(BF3,'ATP - RSAs'!$N:$N,1,FALSE)</f>
        <v>Unbranded Condition Unbranded DLBCL Causes Information For Patients 2 or 3</v>
      </c>
      <c r="BH3" s="218" t="s">
        <v>59</v>
      </c>
      <c r="BI3" s="218" t="str">
        <f>IFERROR(VLOOKUP(BH3,'ATP - RSAs'!$C:$C,1,FALSE),"#N/A")</f>
        <v>Efficacy &amp; Safety Information</v>
      </c>
      <c r="BJ3" s="219" t="s">
        <v>51</v>
      </c>
      <c r="BK3" s="219" t="str">
        <f>IFERROR(VLOOKUP(BJ3,'ATP - RSAs'!$E:$E,1,FALSE),"#N/A")</f>
        <v>2 or 3</v>
      </c>
      <c r="BL3" s="219" t="str">
        <f t="shared" si="10"/>
        <v>Unbranded Condition Unbranded DLBCL Causes Efficacy &amp; Safety Information 2 or 3</v>
      </c>
      <c r="BM3" s="219" t="str">
        <f>VLOOKUP(BL3,'ATP - RSAs'!$N:$N,1,FALSE)</f>
        <v>Unbranded Condition Unbranded DLBCL Causes Efficacy &amp; Safety Information 2 or 3</v>
      </c>
      <c r="BN3" s="218" t="s">
        <v>72</v>
      </c>
      <c r="BO3" s="218" t="str">
        <f>IFERROR(VLOOKUP(BN3,'ATP - RSAs'!$C:$C,1,FALSE),"#N/A")</f>
        <v>Diffuse Large B-Cell Lymphoma</v>
      </c>
      <c r="BP3" s="219" t="s">
        <v>51</v>
      </c>
      <c r="BQ3" s="219" t="str">
        <f>IFERROR(VLOOKUP(BP3,'ATP - RSAs'!$E:$E,1,FALSE),"#N/A")</f>
        <v>2 or 3</v>
      </c>
      <c r="BR3" s="219" t="str">
        <f t="shared" si="11"/>
        <v>Unbranded Condition Unbranded DLBCL Causes Diffuse Large B-Cell Lymphoma 2 or 3</v>
      </c>
      <c r="BS3" s="219" t="str">
        <f>VLOOKUP(BR3,'ATP - RSAs'!$N:$N,1,FALSE)</f>
        <v>Unbranded Condition Unbranded DLBCL Causes Diffuse Large B-Cell Lymphoma 2 or 3</v>
      </c>
      <c r="BT3" s="218" t="s">
        <v>73</v>
      </c>
      <c r="BU3" s="218" t="str">
        <f>IFERROR(VLOOKUP(BT3,'ATP - RSAs'!$C:$C,1,FALSE),"#N/A")</f>
        <v>DLBCL Clinical Study Data</v>
      </c>
      <c r="BV3" s="219" t="s">
        <v>51</v>
      </c>
      <c r="BW3" s="219" t="str">
        <f>IFERROR(VLOOKUP(BV3,'ATP - RSAs'!$E:$E,1,FALSE),"#N/A")</f>
        <v>2 or 3</v>
      </c>
      <c r="BX3" s="219" t="str">
        <f t="shared" si="12"/>
        <v>Unbranded Condition Unbranded DLBCL Causes DLBCL Clinical Study Data 2 or 3</v>
      </c>
      <c r="BY3" s="219" t="str">
        <f>VLOOKUP(BX3,'ATP - RSAs'!$N:$N,1,FALSE)</f>
        <v>Unbranded Condition Unbranded DLBCL Causes DLBCL Clinical Study Data 2 or 3</v>
      </c>
      <c r="BZ3" s="218" t="s">
        <v>60</v>
      </c>
      <c r="CA3" s="218" t="str">
        <f>IFERROR(VLOOKUP(BZ3,'ATP - RSAs'!$C:$C,1,FALSE),"#N/A")</f>
        <v>About DLBCL</v>
      </c>
      <c r="CB3" s="219" t="s">
        <v>51</v>
      </c>
      <c r="CC3" s="219" t="str">
        <f>IFERROR(VLOOKUP(CB3,'ATP - RSAs'!$E:$E,1,FALSE),"#N/A")</f>
        <v>2 or 3</v>
      </c>
      <c r="CD3" s="219" t="str">
        <f t="shared" si="13"/>
        <v>Unbranded Condition Unbranded DLBCL Causes About DLBCL 2 or 3</v>
      </c>
      <c r="CE3" s="219" t="str">
        <f>VLOOKUP(CD3,'ATP - RSAs'!$N:$N,1,FALSE)</f>
        <v>Unbranded Condition Unbranded DLBCL Causes About DLBCL 2 or 3</v>
      </c>
      <c r="CF3" s="218" t="s">
        <v>63</v>
      </c>
      <c r="CG3" s="218" t="str">
        <f>IFERROR(VLOOKUP(CF3,'ATP - RSAs'!$F:$F,1,FALSE),"#N/A")</f>
        <v>Discover A Fixed-Duration Treatment Option For 3L+ DLBCL And View Important Safety Info.</v>
      </c>
      <c r="CH3" s="219" t="s">
        <v>64</v>
      </c>
      <c r="CI3" s="219" t="str">
        <f>IFERROR(VLOOKUP(CH3,'ATP - RSAs'!$H:$H,1,FALSE),"#N/A")</f>
        <v>Any</v>
      </c>
      <c r="CJ3" s="219" t="str">
        <f t="shared" si="14"/>
        <v>Discover A Fixed-Duration Treatment Option For 3L+ DLBCL And View Important Safety Info. Any</v>
      </c>
      <c r="CK3" s="219" t="str">
        <f>VLOOKUP(CJ3,'ATP - RSAs'!$O:$O,1,FALSE)</f>
        <v>Discover A Fixed-Duration Treatment Option For 3L+ DLBCL And View Important Safety Info. Any</v>
      </c>
      <c r="CL3" s="218" t="s">
        <v>65</v>
      </c>
      <c r="CM3" s="218" t="str">
        <f>IFERROR(VLOOKUP(CL3,'ATP - RSAs'!$F:$F,1,FALSE),"#N/A")</f>
        <v>Download The Patient Brochure To Learn More About A DLBCL Fixed-Duration Treatment.</v>
      </c>
      <c r="CN3" s="219" t="s">
        <v>64</v>
      </c>
      <c r="CO3" s="219" t="str">
        <f>IFERROR(VLOOKUP(CN3,'ATP - RSAs'!$H:$H,1,FALSE),"#N/A")</f>
        <v>Any</v>
      </c>
      <c r="CP3" s="219" t="str">
        <f t="shared" si="15"/>
        <v>Download The Patient Brochure To Learn More About A DLBCL Fixed-Duration Treatment. Any</v>
      </c>
      <c r="CQ3" s="219" t="str">
        <f>VLOOKUP(CP3,'ATP - RSAs'!$O:$O,1,FALSE)</f>
        <v>Download The Patient Brochure To Learn More About A DLBCL Fixed-Duration Treatment. Any</v>
      </c>
      <c r="CR3" s="218" t="s">
        <v>66</v>
      </c>
      <c r="CS3" s="218" t="str">
        <f>IFERROR(VLOOKUP(CR3,'ATP - RSAs'!$F:$F,1,FALSE),"#N/A")</f>
        <v>Explore An Infusion Option For Diffuse Large B Cell Lymphoma &amp; View Clinical Results.</v>
      </c>
      <c r="CT3" s="219" t="s">
        <v>64</v>
      </c>
      <c r="CU3" s="219" t="str">
        <f>IFERROR(VLOOKUP(CT3,'ATP - RSAs'!$H:$H,1,FALSE),"#N/A")</f>
        <v>Any</v>
      </c>
      <c r="CV3" s="219" t="str">
        <f t="shared" si="16"/>
        <v>Explore An Infusion Option For Diffuse Large B Cell Lymphoma &amp; View Clinical Results. Any</v>
      </c>
      <c r="CW3" s="219" t="str">
        <f>VLOOKUP(CV3,'ATP - RSAs'!$O:$O,1,FALSE)</f>
        <v>Explore An Infusion Option For Diffuse Large B Cell Lymphoma &amp; View Clinical Results. Any</v>
      </c>
      <c r="CX3" s="218" t="s">
        <v>74</v>
      </c>
      <c r="CY3" s="218" t="str">
        <f>IFERROR(VLOOKUP(CX3,'ATP - RSAs'!$F:$F,1,FALSE),"#N/A")</f>
        <v>Learn More About Starting Treatment For 3L+ DLBCL After Two Or More Prior Therapies.</v>
      </c>
      <c r="CZ3" s="219" t="s">
        <v>64</v>
      </c>
      <c r="DA3" s="219" t="str">
        <f>IFERROR(VLOOKUP(CZ3,'ATP - RSAs'!$H:$H,1,FALSE),"#N/A")</f>
        <v>Any</v>
      </c>
      <c r="DB3" s="219" t="str">
        <f t="shared" si="17"/>
        <v>Learn More About Starting Treatment For 3L+ DLBCL After Two Or More Prior Therapies. Any</v>
      </c>
      <c r="DC3" s="219" t="str">
        <f>VLOOKUP(DB3,'ATP - RSAs'!$O:$O,1,FALSE)</f>
        <v>Learn More About Starting Treatment For 3L+ DLBCL After Two Or More Prior Therapies. Any</v>
      </c>
      <c r="DD3" s="218" t="s">
        <v>68</v>
      </c>
      <c r="DE3" s="2" t="s">
        <v>69</v>
      </c>
    </row>
    <row r="4" spans="1:109" ht="14.4" x14ac:dyDescent="0.3">
      <c r="A4" s="4" t="s">
        <v>46</v>
      </c>
      <c r="B4" s="4" t="str">
        <f>IFERROR(VLOOKUP(A4,'ATP - RSAs'!$A:$A,1,FALSE),"#N/A")</f>
        <v>Unbranded Condition</v>
      </c>
      <c r="C4" s="218" t="s">
        <v>76</v>
      </c>
      <c r="D4" s="218" t="str">
        <f>IFERROR(VLOOKUP(C4,'ATP - RSAs'!$B:$B,1,FALSE),"#N/A")</f>
        <v>Unbranded DLBCL Diagnosis</v>
      </c>
      <c r="E4" s="218" t="str">
        <f t="shared" si="0"/>
        <v>Unbranded Condition Unbranded DLBCL Diagnosis</v>
      </c>
      <c r="F4" s="218" t="s">
        <v>49</v>
      </c>
      <c r="G4" s="218" t="str">
        <f>IFERROR(VLOOKUP(F4,'ATP - RSAs'!$C:$C,1,FALSE),"#N/A")</f>
        <v>Treatment Option For 3L+ DLBCL</v>
      </c>
      <c r="H4" s="219">
        <v>1</v>
      </c>
      <c r="I4" s="219">
        <f>IFERROR(VLOOKUP(H4,'ATP - RSAs'!$E:$E,1,FALSE),"#N/A")</f>
        <v>1</v>
      </c>
      <c r="J4" s="219" t="str">
        <f t="shared" si="1"/>
        <v>Unbranded Condition Unbranded DLBCL Diagnosis Treatment Option For 3L+ DLBCL 1</v>
      </c>
      <c r="K4" s="219" t="str">
        <f>VLOOKUP(J4,'ATP - RSAs'!$N:$N,1,FALSE)</f>
        <v>Unbranded Condition Unbranded DLBCL Diagnosis Treatment Option For 3L+ DLBCL 1</v>
      </c>
      <c r="L4" s="218" t="s">
        <v>50</v>
      </c>
      <c r="M4" s="218" t="str">
        <f>IFERROR(VLOOKUP(L4,'ATP - RSAs'!$C:$C,1,FALSE),"#N/A")</f>
        <v>Download The Patient Brochure</v>
      </c>
      <c r="N4" s="219" t="s">
        <v>51</v>
      </c>
      <c r="O4" s="219" t="str">
        <f>IFERROR(VLOOKUP(N4,'ATP - RSAs'!$E:$E,1,FALSE),"#N/A")</f>
        <v>2 or 3</v>
      </c>
      <c r="P4" s="219" t="str">
        <f t="shared" si="2"/>
        <v>Unbranded Condition Unbranded DLBCL Diagnosis Download The Patient Brochure 2 or 3</v>
      </c>
      <c r="Q4" s="219" t="str">
        <f>VLOOKUP(P4,'ATP - RSAs'!$N:$N,1,FALSE)</f>
        <v>Unbranded Condition Unbranded DLBCL Diagnosis Download The Patient Brochure 2 or 3</v>
      </c>
      <c r="R4" s="218" t="s">
        <v>52</v>
      </c>
      <c r="S4" s="218" t="str">
        <f>IFERROR(VLOOKUP(R4,'ATP - RSAs'!$C:$C,1,FALSE),"#N/A")</f>
        <v>Resources For Patients</v>
      </c>
      <c r="T4" s="219" t="s">
        <v>51</v>
      </c>
      <c r="U4" s="219" t="str">
        <f>IFERROR(VLOOKUP(T4,'ATP - RSAs'!$E:$E,1,FALSE),"#N/A")</f>
        <v>2 or 3</v>
      </c>
      <c r="V4" s="219" t="str">
        <f t="shared" si="3"/>
        <v>Unbranded Condition Unbranded DLBCL Diagnosis Resources For Patients 2 or 3</v>
      </c>
      <c r="W4" s="219" t="str">
        <f>VLOOKUP(V4,'ATP - RSAs'!$N:$N,1,FALSE)</f>
        <v>Unbranded Condition Unbranded DLBCL Diagnosis Resources For Patients 2 or 3</v>
      </c>
      <c r="X4" s="218" t="s">
        <v>53</v>
      </c>
      <c r="Y4" s="218" t="str">
        <f>IFERROR(VLOOKUP(X4,'ATP - RSAs'!$C:$C,1,FALSE),"#N/A")</f>
        <v>Financial Assistance Options</v>
      </c>
      <c r="Z4" s="219" t="s">
        <v>51</v>
      </c>
      <c r="AA4" s="219" t="str">
        <f>IFERROR(VLOOKUP(Z4,'ATP - RSAs'!$E:$E,1,FALSE),"#N/A")</f>
        <v>2 or 3</v>
      </c>
      <c r="AB4" s="219" t="str">
        <f t="shared" si="4"/>
        <v>Unbranded Condition Unbranded DLBCL Diagnosis Financial Assistance Options 2 or 3</v>
      </c>
      <c r="AC4" s="219" t="str">
        <f>VLOOKUP(AB4,'ATP - RSAs'!$N:$N,1,FALSE)</f>
        <v>Unbranded Condition Unbranded DLBCL Diagnosis Financial Assistance Options 2 or 3</v>
      </c>
      <c r="AD4" s="218" t="s">
        <v>54</v>
      </c>
      <c r="AE4" s="218" t="str">
        <f>IFERROR(VLOOKUP(AD4,'ATP - RSAs'!$C:$C,1,FALSE),"#N/A")</f>
        <v>Important Safety Information</v>
      </c>
      <c r="AF4" s="219" t="s">
        <v>51</v>
      </c>
      <c r="AG4" s="219" t="str">
        <f>IFERROR(VLOOKUP(AF4,'ATP - RSAs'!$E:$E,1,FALSE),"#N/A")</f>
        <v>2 or 3</v>
      </c>
      <c r="AH4" s="219" t="str">
        <f t="shared" si="5"/>
        <v>Unbranded Condition Unbranded DLBCL Diagnosis Important Safety Information 2 or 3</v>
      </c>
      <c r="AI4" s="219" t="str">
        <f>VLOOKUP(AH4,'ATP - RSAs'!$N:$N,1,FALSE)</f>
        <v>Unbranded Condition Unbranded DLBCL Diagnosis Important Safety Information 2 or 3</v>
      </c>
      <c r="AJ4" s="218" t="s">
        <v>55</v>
      </c>
      <c r="AK4" s="218" t="str">
        <f>IFERROR(VLOOKUP(AJ4,'ATP - RSAs'!$C:$C,1,FALSE),"#N/A")</f>
        <v>Questions To Ask Your Doctor</v>
      </c>
      <c r="AL4" s="219" t="s">
        <v>51</v>
      </c>
      <c r="AM4" s="219" t="str">
        <f>IFERROR(VLOOKUP(AL4,'ATP - RSAs'!$E:$E,1,FALSE),"#N/A")</f>
        <v>2 or 3</v>
      </c>
      <c r="AN4" s="219" t="str">
        <f t="shared" si="6"/>
        <v>Unbranded Condition Unbranded DLBCL Diagnosis Questions To Ask Your Doctor 2 or 3</v>
      </c>
      <c r="AO4" s="219" t="str">
        <f>VLOOKUP(AN4,'ATP - RSAs'!$N:$N,1,FALSE)</f>
        <v>Unbranded Condition Unbranded DLBCL Diagnosis Questions To Ask Your Doctor 2 or 3</v>
      </c>
      <c r="AP4" s="218" t="s">
        <v>56</v>
      </c>
      <c r="AQ4" s="218" t="str">
        <f>IFERROR(VLOOKUP(AP4,'ATP - RSAs'!$C:$C,1,FALSE),"#N/A")</f>
        <v>DLBCL Infusion Therapy</v>
      </c>
      <c r="AR4" s="219" t="s">
        <v>51</v>
      </c>
      <c r="AS4" s="219" t="str">
        <f>IFERROR(VLOOKUP(AR4,'ATP - RSAs'!$E:$E,1,FALSE),"#N/A")</f>
        <v>2 or 3</v>
      </c>
      <c r="AT4" s="219" t="str">
        <f t="shared" si="7"/>
        <v>Unbranded Condition Unbranded DLBCL Diagnosis DLBCL Infusion Therapy 2 or 3</v>
      </c>
      <c r="AU4" s="219" t="str">
        <f>VLOOKUP(AT4,'ATP - RSAs'!$N:$N,1,FALSE)</f>
        <v>Unbranded Condition Unbranded DLBCL Diagnosis DLBCL Infusion Therapy 2 or 3</v>
      </c>
      <c r="AV4" s="218" t="s">
        <v>57</v>
      </c>
      <c r="AW4" s="218" t="str">
        <f>IFERROR(VLOOKUP(AV4,'ATP - RSAs'!$C:$C,1,FALSE),"#N/A")</f>
        <v>Clinical Trial Results</v>
      </c>
      <c r="AX4" s="219" t="s">
        <v>51</v>
      </c>
      <c r="AY4" s="219" t="str">
        <f>IFERROR(VLOOKUP(AX4,'ATP - RSAs'!$E:$E,1,FALSE),"#N/A")</f>
        <v>2 or 3</v>
      </c>
      <c r="AZ4" s="219" t="str">
        <f t="shared" si="8"/>
        <v>Unbranded Condition Unbranded DLBCL Diagnosis Clinical Trial Results 2 or 3</v>
      </c>
      <c r="BA4" s="219" t="str">
        <f>VLOOKUP(AZ4,'ATP - RSAs'!$N:$N,1,FALSE)</f>
        <v>Unbranded Condition Unbranded DLBCL Diagnosis Clinical Trial Results 2 or 3</v>
      </c>
      <c r="BB4" s="218" t="s">
        <v>58</v>
      </c>
      <c r="BC4" s="218" t="str">
        <f>IFERROR(VLOOKUP(BB4,'ATP - RSAs'!$C:$C,1,FALSE),"#N/A")</f>
        <v>Information For Patients</v>
      </c>
      <c r="BD4" s="219" t="s">
        <v>51</v>
      </c>
      <c r="BE4" s="219" t="str">
        <f>IFERROR(VLOOKUP(BD4,'ATP - RSAs'!$E:$E,1,FALSE),"#N/A")</f>
        <v>2 or 3</v>
      </c>
      <c r="BF4" s="219" t="str">
        <f t="shared" si="9"/>
        <v>Unbranded Condition Unbranded DLBCL Diagnosis Information For Patients 2 or 3</v>
      </c>
      <c r="BG4" s="219" t="str">
        <f>VLOOKUP(BF4,'ATP - RSAs'!$N:$N,1,FALSE)</f>
        <v>Unbranded Condition Unbranded DLBCL Diagnosis Information For Patients 2 or 3</v>
      </c>
      <c r="BH4" s="218" t="s">
        <v>59</v>
      </c>
      <c r="BI4" s="218" t="str">
        <f>IFERROR(VLOOKUP(BH4,'ATP - RSAs'!$C:$C,1,FALSE),"#N/A")</f>
        <v>Efficacy &amp; Safety Information</v>
      </c>
      <c r="BJ4" s="219" t="s">
        <v>51</v>
      </c>
      <c r="BK4" s="219" t="str">
        <f>IFERROR(VLOOKUP(BJ4,'ATP - RSAs'!$E:$E,1,FALSE),"#N/A")</f>
        <v>2 or 3</v>
      </c>
      <c r="BL4" s="219" t="str">
        <f t="shared" si="10"/>
        <v>Unbranded Condition Unbranded DLBCL Diagnosis Efficacy &amp; Safety Information 2 or 3</v>
      </c>
      <c r="BM4" s="219" t="str">
        <f>VLOOKUP(BL4,'ATP - RSAs'!$N:$N,1,FALSE)</f>
        <v>Unbranded Condition Unbranded DLBCL Diagnosis Efficacy &amp; Safety Information 2 or 3</v>
      </c>
      <c r="BN4" s="218" t="s">
        <v>72</v>
      </c>
      <c r="BO4" s="218" t="str">
        <f>IFERROR(VLOOKUP(BN4,'ATP - RSAs'!$C:$C,1,FALSE),"#N/A")</f>
        <v>Diffuse Large B-Cell Lymphoma</v>
      </c>
      <c r="BP4" s="219" t="s">
        <v>51</v>
      </c>
      <c r="BQ4" s="219" t="str">
        <f>IFERROR(VLOOKUP(BP4,'ATP - RSAs'!$E:$E,1,FALSE),"#N/A")</f>
        <v>2 or 3</v>
      </c>
      <c r="BR4" s="219" t="str">
        <f t="shared" si="11"/>
        <v>Unbranded Condition Unbranded DLBCL Diagnosis Diffuse Large B-Cell Lymphoma 2 or 3</v>
      </c>
      <c r="BS4" s="219" t="str">
        <f>VLOOKUP(BR4,'ATP - RSAs'!$N:$N,1,FALSE)</f>
        <v>Unbranded Condition Unbranded DLBCL Diagnosis Diffuse Large B-Cell Lymphoma 2 or 3</v>
      </c>
      <c r="BT4" s="218" t="s">
        <v>61</v>
      </c>
      <c r="BU4" s="218" t="str">
        <f>IFERROR(VLOOKUP(BT4,'ATP - RSAs'!$C:$C,1,FALSE),"#N/A")</f>
        <v>3L+ DLBCL Treatment Support</v>
      </c>
      <c r="BV4" s="219" t="s">
        <v>51</v>
      </c>
      <c r="BW4" s="219" t="str">
        <f>IFERROR(VLOOKUP(BV4,'ATP - RSAs'!$E:$E,1,FALSE),"#N/A")</f>
        <v>2 or 3</v>
      </c>
      <c r="BX4" s="219" t="str">
        <f t="shared" si="12"/>
        <v>Unbranded Condition Unbranded DLBCL Diagnosis 3L+ DLBCL Treatment Support 2 or 3</v>
      </c>
      <c r="BY4" s="219" t="str">
        <f>VLOOKUP(BX4,'ATP - RSAs'!$N:$N,1,FALSE)</f>
        <v>Unbranded Condition Unbranded DLBCL Diagnosis 3L+ DLBCL Treatment Support 2 or 3</v>
      </c>
      <c r="BZ4" s="218" t="s">
        <v>62</v>
      </c>
      <c r="CA4" s="218" t="str">
        <f>IFERROR(VLOOKUP(BZ4,'ATP - RSAs'!$C:$C,1,FALSE),"#N/A")</f>
        <v>3L+ DLBCL Patient Resources</v>
      </c>
      <c r="CB4" s="219" t="s">
        <v>51</v>
      </c>
      <c r="CC4" s="219" t="str">
        <f>IFERROR(VLOOKUP(CB4,'ATP - RSAs'!$E:$E,1,FALSE),"#N/A")</f>
        <v>2 or 3</v>
      </c>
      <c r="CD4" s="219" t="str">
        <f t="shared" si="13"/>
        <v>Unbranded Condition Unbranded DLBCL Diagnosis 3L+ DLBCL Patient Resources 2 or 3</v>
      </c>
      <c r="CE4" s="219" t="str">
        <f>VLOOKUP(CD4,'ATP - RSAs'!$N:$N,1,FALSE)</f>
        <v>Unbranded Condition Unbranded DLBCL Diagnosis 3L+ DLBCL Patient Resources 2 or 3</v>
      </c>
      <c r="CF4" s="218" t="s">
        <v>63</v>
      </c>
      <c r="CG4" s="218" t="str">
        <f>IFERROR(VLOOKUP(CF4,'ATP - RSAs'!$F:$F,1,FALSE),"#N/A")</f>
        <v>Discover A Fixed-Duration Treatment Option For 3L+ DLBCL And View Important Safety Info.</v>
      </c>
      <c r="CH4" s="219" t="s">
        <v>64</v>
      </c>
      <c r="CI4" s="219" t="str">
        <f>IFERROR(VLOOKUP(CH4,'ATP - RSAs'!$H:$H,1,FALSE),"#N/A")</f>
        <v>Any</v>
      </c>
      <c r="CJ4" s="219" t="str">
        <f t="shared" si="14"/>
        <v>Discover A Fixed-Duration Treatment Option For 3L+ DLBCL And View Important Safety Info. Any</v>
      </c>
      <c r="CK4" s="219" t="str">
        <f>VLOOKUP(CJ4,'ATP - RSAs'!$O:$O,1,FALSE)</f>
        <v>Discover A Fixed-Duration Treatment Option For 3L+ DLBCL And View Important Safety Info. Any</v>
      </c>
      <c r="CL4" s="218" t="s">
        <v>65</v>
      </c>
      <c r="CM4" s="218" t="str">
        <f>IFERROR(VLOOKUP(CL4,'ATP - RSAs'!$F:$F,1,FALSE),"#N/A")</f>
        <v>Download The Patient Brochure To Learn More About A DLBCL Fixed-Duration Treatment.</v>
      </c>
      <c r="CN4" s="219" t="s">
        <v>64</v>
      </c>
      <c r="CO4" s="219" t="str">
        <f>IFERROR(VLOOKUP(CN4,'ATP - RSAs'!$H:$H,1,FALSE),"#N/A")</f>
        <v>Any</v>
      </c>
      <c r="CP4" s="219" t="str">
        <f t="shared" si="15"/>
        <v>Download The Patient Brochure To Learn More About A DLBCL Fixed-Duration Treatment. Any</v>
      </c>
      <c r="CQ4" s="219" t="str">
        <f>VLOOKUP(CP4,'ATP - RSAs'!$O:$O,1,FALSE)</f>
        <v>Download The Patient Brochure To Learn More About A DLBCL Fixed-Duration Treatment. Any</v>
      </c>
      <c r="CR4" s="218" t="s">
        <v>66</v>
      </c>
      <c r="CS4" s="218" t="str">
        <f>IFERROR(VLOOKUP(CR4,'ATP - RSAs'!$F:$F,1,FALSE),"#N/A")</f>
        <v>Explore An Infusion Option For Diffuse Large B Cell Lymphoma &amp; View Clinical Results.</v>
      </c>
      <c r="CT4" s="219" t="s">
        <v>64</v>
      </c>
      <c r="CU4" s="219" t="str">
        <f>IFERROR(VLOOKUP(CT4,'ATP - RSAs'!$H:$H,1,FALSE),"#N/A")</f>
        <v>Any</v>
      </c>
      <c r="CV4" s="219" t="str">
        <f t="shared" si="16"/>
        <v>Explore An Infusion Option For Diffuse Large B Cell Lymphoma &amp; View Clinical Results. Any</v>
      </c>
      <c r="CW4" s="219" t="str">
        <f>VLOOKUP(CV4,'ATP - RSAs'!$O:$O,1,FALSE)</f>
        <v>Explore An Infusion Option For Diffuse Large B Cell Lymphoma &amp; View Clinical Results. Any</v>
      </c>
      <c r="CX4" s="218" t="s">
        <v>74</v>
      </c>
      <c r="CY4" s="218" t="str">
        <f>IFERROR(VLOOKUP(CX4,'ATP - RSAs'!$F:$F,1,FALSE),"#N/A")</f>
        <v>Learn More About Starting Treatment For 3L+ DLBCL After Two Or More Prior Therapies.</v>
      </c>
      <c r="CZ4" s="219" t="s">
        <v>64</v>
      </c>
      <c r="DA4" s="219" t="str">
        <f>IFERROR(VLOOKUP(CZ4,'ATP - RSAs'!$H:$H,1,FALSE),"#N/A")</f>
        <v>Any</v>
      </c>
      <c r="DB4" s="219" t="str">
        <f t="shared" si="17"/>
        <v>Learn More About Starting Treatment For 3L+ DLBCL After Two Or More Prior Therapies. Any</v>
      </c>
      <c r="DC4" s="219" t="str">
        <f>VLOOKUP(DB4,'ATP - RSAs'!$O:$O,1,FALSE)</f>
        <v>Learn More About Starting Treatment For 3L+ DLBCL After Two Or More Prior Therapies. Any</v>
      </c>
      <c r="DD4" s="218" t="s">
        <v>68</v>
      </c>
      <c r="DE4" s="2" t="s">
        <v>69</v>
      </c>
    </row>
    <row r="5" spans="1:109" ht="14.4" x14ac:dyDescent="0.3">
      <c r="A5" s="4" t="s">
        <v>46</v>
      </c>
      <c r="B5" s="4" t="str">
        <f>IFERROR(VLOOKUP(A5,'ATP - RSAs'!$A:$A,1,FALSE),"#N/A")</f>
        <v>Unbranded Condition</v>
      </c>
      <c r="C5" s="218" t="s">
        <v>78</v>
      </c>
      <c r="D5" s="218" t="str">
        <f>IFERROR(VLOOKUP(C5,'ATP - RSAs'!$B:$B,1,FALSE),"#N/A")</f>
        <v>Unbranded DLBCL Resources</v>
      </c>
      <c r="E5" s="218" t="str">
        <f t="shared" si="0"/>
        <v>Unbranded Condition Unbranded DLBCL Resources</v>
      </c>
      <c r="F5" s="218" t="s">
        <v>526</v>
      </c>
      <c r="G5" s="218" t="str">
        <f>IFERROR(VLOOKUP(F5,'ATP - RSAs'!$C:$C,1,FALSE),"#N/A")</f>
        <v>#N/A</v>
      </c>
      <c r="H5" s="219" t="s">
        <v>528</v>
      </c>
      <c r="I5" s="219" t="str">
        <f>IFERROR(VLOOKUP(H5,'ATP - RSAs'!$E:$E,1,FALSE),"#N/A")</f>
        <v>#N/A</v>
      </c>
      <c r="J5" s="219" t="str">
        <f t="shared" si="1"/>
        <v>Unbranded Condition Unbranded DLBCL Resources j y</v>
      </c>
      <c r="K5" s="219" t="e">
        <f>VLOOKUP(J5,'ATP - RSAs'!$N:$N,1,FALSE)</f>
        <v>#N/A</v>
      </c>
      <c r="L5" s="218" t="s">
        <v>50</v>
      </c>
      <c r="M5" s="218" t="str">
        <f>IFERROR(VLOOKUP(L5,'ATP - RSAs'!$C:$C,1,FALSE),"#N/A")</f>
        <v>Download The Patient Brochure</v>
      </c>
      <c r="N5" s="219" t="s">
        <v>51</v>
      </c>
      <c r="O5" s="219" t="str">
        <f>IFERROR(VLOOKUP(N5,'ATP - RSAs'!$E:$E,1,FALSE),"#N/A")</f>
        <v>2 or 3</v>
      </c>
      <c r="P5" s="219" t="str">
        <f t="shared" si="2"/>
        <v>Unbranded Condition Unbranded DLBCL Resources Download The Patient Brochure 2 or 3</v>
      </c>
      <c r="Q5" s="219" t="str">
        <f>VLOOKUP(P5,'ATP - RSAs'!$N:$N,1,FALSE)</f>
        <v>Unbranded Condition Unbranded DLBCL Resources Download The Patient Brochure 2 or 3</v>
      </c>
      <c r="R5" s="218" t="s">
        <v>52</v>
      </c>
      <c r="S5" s="218" t="str">
        <f>IFERROR(VLOOKUP(R5,'ATP - RSAs'!$C:$C,1,FALSE),"#N/A")</f>
        <v>Resources For Patients</v>
      </c>
      <c r="T5" s="219" t="s">
        <v>51</v>
      </c>
      <c r="U5" s="219" t="str">
        <f>IFERROR(VLOOKUP(T5,'ATP - RSAs'!$E:$E,1,FALSE),"#N/A")</f>
        <v>2 or 3</v>
      </c>
      <c r="V5" s="219" t="str">
        <f t="shared" si="3"/>
        <v>Unbranded Condition Unbranded DLBCL Resources Resources For Patients 2 or 3</v>
      </c>
      <c r="W5" s="219" t="str">
        <f>VLOOKUP(V5,'ATP - RSAs'!$N:$N,1,FALSE)</f>
        <v>Unbranded Condition Unbranded DLBCL Resources Resources For Patients 2 or 3</v>
      </c>
      <c r="X5" s="218" t="s">
        <v>53</v>
      </c>
      <c r="Y5" s="218" t="str">
        <f>IFERROR(VLOOKUP(X5,'ATP - RSAs'!$C:$C,1,FALSE),"#N/A")</f>
        <v>Financial Assistance Options</v>
      </c>
      <c r="Z5" s="219" t="s">
        <v>51</v>
      </c>
      <c r="AA5" s="219" t="str">
        <f>IFERROR(VLOOKUP(Z5,'ATP - RSAs'!$E:$E,1,FALSE),"#N/A")</f>
        <v>2 or 3</v>
      </c>
      <c r="AB5" s="219" t="str">
        <f t="shared" si="4"/>
        <v>Unbranded Condition Unbranded DLBCL Resources Financial Assistance Options 2 or 3</v>
      </c>
      <c r="AC5" s="219" t="str">
        <f>VLOOKUP(AB5,'ATP - RSAs'!$N:$N,1,FALSE)</f>
        <v>Unbranded Condition Unbranded DLBCL Resources Financial Assistance Options 2 or 3</v>
      </c>
      <c r="AD5" s="218" t="s">
        <v>54</v>
      </c>
      <c r="AE5" s="218" t="str">
        <f>IFERROR(VLOOKUP(AD5,'ATP - RSAs'!$C:$C,1,FALSE),"#N/A")</f>
        <v>Important Safety Information</v>
      </c>
      <c r="AF5" s="219" t="s">
        <v>51</v>
      </c>
      <c r="AG5" s="219" t="str">
        <f>IFERROR(VLOOKUP(AF5,'ATP - RSAs'!$E:$E,1,FALSE),"#N/A")</f>
        <v>2 or 3</v>
      </c>
      <c r="AH5" s="219" t="str">
        <f t="shared" si="5"/>
        <v>Unbranded Condition Unbranded DLBCL Resources Important Safety Information 2 or 3</v>
      </c>
      <c r="AI5" s="219" t="str">
        <f>VLOOKUP(AH5,'ATP - RSAs'!$N:$N,1,FALSE)</f>
        <v>Unbranded Condition Unbranded DLBCL Resources Important Safety Information 2 or 3</v>
      </c>
      <c r="AJ5" s="218" t="s">
        <v>55</v>
      </c>
      <c r="AK5" s="218" t="str">
        <f>IFERROR(VLOOKUP(AJ5,'ATP - RSAs'!$C:$C,1,FALSE),"#N/A")</f>
        <v>Questions To Ask Your Doctor</v>
      </c>
      <c r="AL5" s="219" t="s">
        <v>51</v>
      </c>
      <c r="AM5" s="219" t="str">
        <f>IFERROR(VLOOKUP(AL5,'ATP - RSAs'!$E:$E,1,FALSE),"#N/A")</f>
        <v>2 or 3</v>
      </c>
      <c r="AN5" s="219" t="str">
        <f t="shared" si="6"/>
        <v>Unbranded Condition Unbranded DLBCL Resources Questions To Ask Your Doctor 2 or 3</v>
      </c>
      <c r="AO5" s="219" t="str">
        <f>VLOOKUP(AN5,'ATP - RSAs'!$N:$N,1,FALSE)</f>
        <v>Unbranded Condition Unbranded DLBCL Resources Questions To Ask Your Doctor 2 or 3</v>
      </c>
      <c r="AP5" s="218" t="s">
        <v>56</v>
      </c>
      <c r="AQ5" s="218" t="str">
        <f>IFERROR(VLOOKUP(AP5,'ATP - RSAs'!$C:$C,1,FALSE),"#N/A")</f>
        <v>DLBCL Infusion Therapy</v>
      </c>
      <c r="AR5" s="219" t="s">
        <v>51</v>
      </c>
      <c r="AS5" s="219" t="str">
        <f>IFERROR(VLOOKUP(AR5,'ATP - RSAs'!$E:$E,1,FALSE),"#N/A")</f>
        <v>2 or 3</v>
      </c>
      <c r="AT5" s="219" t="str">
        <f t="shared" si="7"/>
        <v>Unbranded Condition Unbranded DLBCL Resources DLBCL Infusion Therapy 2 or 3</v>
      </c>
      <c r="AU5" s="219" t="str">
        <f>VLOOKUP(AT5,'ATP - RSAs'!$N:$N,1,FALSE)</f>
        <v>Unbranded Condition Unbranded DLBCL Resources DLBCL Infusion Therapy 2 or 3</v>
      </c>
      <c r="AV5" s="218" t="s">
        <v>79</v>
      </c>
      <c r="AW5" s="218" t="str">
        <f>IFERROR(VLOOKUP(AV5,'ATP - RSAs'!$C:$C,1,FALSE),"#N/A")</f>
        <v>Downloadable Resources</v>
      </c>
      <c r="AX5" s="219" t="s">
        <v>51</v>
      </c>
      <c r="AY5" s="219" t="str">
        <f>IFERROR(VLOOKUP(AX5,'ATP - RSAs'!$E:$E,1,FALSE),"#N/A")</f>
        <v>2 or 3</v>
      </c>
      <c r="AZ5" s="219" t="str">
        <f t="shared" si="8"/>
        <v>Unbranded Condition Unbranded DLBCL Resources Downloadable Resources 2 or 3</v>
      </c>
      <c r="BA5" s="219" t="str">
        <f>VLOOKUP(AZ5,'ATP - RSAs'!$N:$N,1,FALSE)</f>
        <v>Unbranded Condition Unbranded DLBCL Resources Downloadable Resources 2 or 3</v>
      </c>
      <c r="BB5" s="218" t="s">
        <v>58</v>
      </c>
      <c r="BC5" s="218" t="str">
        <f>IFERROR(VLOOKUP(BB5,'ATP - RSAs'!$C:$C,1,FALSE),"#N/A")</f>
        <v>Information For Patients</v>
      </c>
      <c r="BD5" s="219" t="s">
        <v>51</v>
      </c>
      <c r="BE5" s="219" t="str">
        <f>IFERROR(VLOOKUP(BD5,'ATP - RSAs'!$E:$E,1,FALSE),"#N/A")</f>
        <v>2 or 3</v>
      </c>
      <c r="BF5" s="219" t="str">
        <f t="shared" si="9"/>
        <v>Unbranded Condition Unbranded DLBCL Resources Information For Patients 2 or 3</v>
      </c>
      <c r="BG5" s="219" t="str">
        <f>VLOOKUP(BF5,'ATP - RSAs'!$N:$N,1,FALSE)</f>
        <v>Unbranded Condition Unbranded DLBCL Resources Information For Patients 2 or 3</v>
      </c>
      <c r="BH5" s="218" t="s">
        <v>59</v>
      </c>
      <c r="BI5" s="218" t="str">
        <f>IFERROR(VLOOKUP(BH5,'ATP - RSAs'!$C:$C,1,FALSE),"#N/A")</f>
        <v>Efficacy &amp; Safety Information</v>
      </c>
      <c r="BJ5" s="219" t="s">
        <v>51</v>
      </c>
      <c r="BK5" s="219" t="str">
        <f>IFERROR(VLOOKUP(BJ5,'ATP - RSAs'!$E:$E,1,FALSE),"#N/A")</f>
        <v>2 or 3</v>
      </c>
      <c r="BL5" s="219" t="str">
        <f t="shared" si="10"/>
        <v>Unbranded Condition Unbranded DLBCL Resources Efficacy &amp; Safety Information 2 or 3</v>
      </c>
      <c r="BM5" s="219" t="str">
        <f>VLOOKUP(BL5,'ATP - RSAs'!$N:$N,1,FALSE)</f>
        <v>Unbranded Condition Unbranded DLBCL Resources Efficacy &amp; Safety Information 2 or 3</v>
      </c>
      <c r="BN5" s="218" t="s">
        <v>80</v>
      </c>
      <c r="BO5" s="218" t="str">
        <f>IFERROR(VLOOKUP(BN5,'ATP - RSAs'!$C:$C,1,FALSE),"#N/A")</f>
        <v>Infusion Information Sheet</v>
      </c>
      <c r="BP5" s="219" t="s">
        <v>51</v>
      </c>
      <c r="BQ5" s="219" t="str">
        <f>IFERROR(VLOOKUP(BP5,'ATP - RSAs'!$E:$E,1,FALSE),"#N/A")</f>
        <v>2 or 3</v>
      </c>
      <c r="BR5" s="219" t="str">
        <f t="shared" si="11"/>
        <v>Unbranded Condition Unbranded DLBCL Resources Infusion Information Sheet 2 or 3</v>
      </c>
      <c r="BS5" s="219" t="str">
        <f>VLOOKUP(BR5,'ATP - RSAs'!$N:$N,1,FALSE)</f>
        <v>Unbranded Condition Unbranded DLBCL Resources Infusion Information Sheet 2 or 3</v>
      </c>
      <c r="BT5" s="218" t="s">
        <v>61</v>
      </c>
      <c r="BU5" s="218" t="str">
        <f>IFERROR(VLOOKUP(BT5,'ATP - RSAs'!$C:$C,1,FALSE),"#N/A")</f>
        <v>3L+ DLBCL Treatment Support</v>
      </c>
      <c r="BV5" s="219" t="s">
        <v>51</v>
      </c>
      <c r="BW5" s="219" t="str">
        <f>IFERROR(VLOOKUP(BV5,'ATP - RSAs'!$E:$E,1,FALSE),"#N/A")</f>
        <v>2 or 3</v>
      </c>
      <c r="BX5" s="219" t="str">
        <f t="shared" si="12"/>
        <v>Unbranded Condition Unbranded DLBCL Resources 3L+ DLBCL Treatment Support 2 or 3</v>
      </c>
      <c r="BY5" s="219" t="str">
        <f>VLOOKUP(BX5,'ATP - RSAs'!$N:$N,1,FALSE)</f>
        <v>Unbranded Condition Unbranded DLBCL Resources 3L+ DLBCL Treatment Support 2 or 3</v>
      </c>
      <c r="BZ5" s="218" t="s">
        <v>62</v>
      </c>
      <c r="CA5" s="218" t="str">
        <f>IFERROR(VLOOKUP(BZ5,'ATP - RSAs'!$C:$C,1,FALSE),"#N/A")</f>
        <v>3L+ DLBCL Patient Resources</v>
      </c>
      <c r="CB5" s="219" t="s">
        <v>51</v>
      </c>
      <c r="CC5" s="219" t="str">
        <f>IFERROR(VLOOKUP(CB5,'ATP - RSAs'!$E:$E,1,FALSE),"#N/A")</f>
        <v>2 or 3</v>
      </c>
      <c r="CD5" s="219" t="str">
        <f t="shared" si="13"/>
        <v>Unbranded Condition Unbranded DLBCL Resources 3L+ DLBCL Patient Resources 2 or 3</v>
      </c>
      <c r="CE5" s="219" t="str">
        <f>VLOOKUP(CD5,'ATP - RSAs'!$N:$N,1,FALSE)</f>
        <v>Unbranded Condition Unbranded DLBCL Resources 3L+ DLBCL Patient Resources 2 or 3</v>
      </c>
      <c r="CF5" s="218" t="s">
        <v>63</v>
      </c>
      <c r="CG5" s="218" t="str">
        <f>IFERROR(VLOOKUP(CF5,'ATP - RSAs'!$F:$F,1,FALSE),"#N/A")</f>
        <v>Discover A Fixed-Duration Treatment Option For 3L+ DLBCL And View Important Safety Info.</v>
      </c>
      <c r="CH5" s="219" t="s">
        <v>64</v>
      </c>
      <c r="CI5" s="219" t="str">
        <f>IFERROR(VLOOKUP(CH5,'ATP - RSAs'!$H:$H,1,FALSE),"#N/A")</f>
        <v>Any</v>
      </c>
      <c r="CJ5" s="219" t="str">
        <f t="shared" si="14"/>
        <v>Discover A Fixed-Duration Treatment Option For 3L+ DLBCL And View Important Safety Info. Any</v>
      </c>
      <c r="CK5" s="219" t="str">
        <f>VLOOKUP(CJ5,'ATP - RSAs'!$O:$O,1,FALSE)</f>
        <v>Discover A Fixed-Duration Treatment Option For 3L+ DLBCL And View Important Safety Info. Any</v>
      </c>
      <c r="CL5" s="218" t="s">
        <v>65</v>
      </c>
      <c r="CM5" s="218" t="str">
        <f>IFERROR(VLOOKUP(CL5,'ATP - RSAs'!$F:$F,1,FALSE),"#N/A")</f>
        <v>Download The Patient Brochure To Learn More About A DLBCL Fixed-Duration Treatment.</v>
      </c>
      <c r="CN5" s="219" t="s">
        <v>64</v>
      </c>
      <c r="CO5" s="219" t="str">
        <f>IFERROR(VLOOKUP(CN5,'ATP - RSAs'!$H:$H,1,FALSE),"#N/A")</f>
        <v>Any</v>
      </c>
      <c r="CP5" s="219" t="str">
        <f t="shared" si="15"/>
        <v>Download The Patient Brochure To Learn More About A DLBCL Fixed-Duration Treatment. Any</v>
      </c>
      <c r="CQ5" s="219" t="str">
        <f>VLOOKUP(CP5,'ATP - RSAs'!$O:$O,1,FALSE)</f>
        <v>Download The Patient Brochure To Learn More About A DLBCL Fixed-Duration Treatment. Any</v>
      </c>
      <c r="CR5" s="218" t="s">
        <v>66</v>
      </c>
      <c r="CS5" s="218" t="str">
        <f>IFERROR(VLOOKUP(CR5,'ATP - RSAs'!$F:$F,1,FALSE),"#N/A")</f>
        <v>Explore An Infusion Option For Diffuse Large B Cell Lymphoma &amp; View Clinical Results.</v>
      </c>
      <c r="CT5" s="219" t="s">
        <v>64</v>
      </c>
      <c r="CU5" s="219" t="str">
        <f>IFERROR(VLOOKUP(CT5,'ATP - RSAs'!$H:$H,1,FALSE),"#N/A")</f>
        <v>Any</v>
      </c>
      <c r="CV5" s="219" t="str">
        <f t="shared" si="16"/>
        <v>Explore An Infusion Option For Diffuse Large B Cell Lymphoma &amp; View Clinical Results. Any</v>
      </c>
      <c r="CW5" s="219" t="str">
        <f>VLOOKUP(CV5,'ATP - RSAs'!$O:$O,1,FALSE)</f>
        <v>Explore An Infusion Option For Diffuse Large B Cell Lymphoma &amp; View Clinical Results. Any</v>
      </c>
      <c r="CX5" s="218" t="s">
        <v>74</v>
      </c>
      <c r="CY5" s="218" t="str">
        <f>IFERROR(VLOOKUP(CX5,'ATP - RSAs'!$F:$F,1,FALSE),"#N/A")</f>
        <v>Learn More About Starting Treatment For 3L+ DLBCL After Two Or More Prior Therapies.</v>
      </c>
      <c r="CZ5" s="219" t="s">
        <v>64</v>
      </c>
      <c r="DA5" s="219" t="str">
        <f>IFERROR(VLOOKUP(CZ5,'ATP - RSAs'!$H:$H,1,FALSE),"#N/A")</f>
        <v>Any</v>
      </c>
      <c r="DB5" s="219" t="str">
        <f t="shared" si="17"/>
        <v>Learn More About Starting Treatment For 3L+ DLBCL After Two Or More Prior Therapies. Any</v>
      </c>
      <c r="DC5" s="219" t="str">
        <f>VLOOKUP(DB5,'ATP - RSAs'!$O:$O,1,FALSE)</f>
        <v>Learn More About Starting Treatment For 3L+ DLBCL After Two Or More Prior Therapies. Any</v>
      </c>
      <c r="DD5" s="218" t="s">
        <v>68</v>
      </c>
      <c r="DE5" s="2" t="s">
        <v>81</v>
      </c>
    </row>
    <row r="6" spans="1:109" ht="14.4" x14ac:dyDescent="0.3">
      <c r="A6" s="4" t="s">
        <v>46</v>
      </c>
      <c r="B6" s="4" t="str">
        <f>IFERROR(VLOOKUP(A6,'ATP - RSAs'!$A:$A,1,FALSE),"#N/A")</f>
        <v>Unbranded Condition</v>
      </c>
      <c r="C6" s="218" t="s">
        <v>83</v>
      </c>
      <c r="D6" s="218" t="str">
        <f>IFERROR(VLOOKUP(C6,'ATP - RSAs'!$B:$B,1,FALSE),"#N/A")</f>
        <v>Unbranded DLBCL Financial Support</v>
      </c>
      <c r="E6" s="218" t="str">
        <f t="shared" si="0"/>
        <v>Unbranded Condition Unbranded DLBCL Financial Support</v>
      </c>
      <c r="F6" s="218" t="s">
        <v>49</v>
      </c>
      <c r="G6" s="218" t="str">
        <f>IFERROR(VLOOKUP(F6,'ATP - RSAs'!$C:$C,1,FALSE),"#N/A")</f>
        <v>Treatment Option For 3L+ DLBCL</v>
      </c>
      <c r="H6" s="219">
        <v>1</v>
      </c>
      <c r="I6" s="219">
        <f>IFERROR(VLOOKUP(H6,'ATP - RSAs'!$E:$E,1,FALSE),"#N/A")</f>
        <v>1</v>
      </c>
      <c r="J6" s="219" t="str">
        <f t="shared" si="1"/>
        <v>Unbranded Condition Unbranded DLBCL Financial Support Treatment Option For 3L+ DLBCL 1</v>
      </c>
      <c r="K6" s="219" t="str">
        <f>VLOOKUP(J6,'ATP - RSAs'!$N:$N,1,FALSE)</f>
        <v>Unbranded Condition Unbranded DLBCL Financial Support Treatment Option For 3L+ DLBCL 1</v>
      </c>
      <c r="L6" s="218" t="s">
        <v>50</v>
      </c>
      <c r="M6" s="218" t="str">
        <f>IFERROR(VLOOKUP(L6,'ATP - RSAs'!$C:$C,1,FALSE),"#N/A")</f>
        <v>Download The Patient Brochure</v>
      </c>
      <c r="N6" s="219" t="s">
        <v>51</v>
      </c>
      <c r="O6" s="219" t="str">
        <f>IFERROR(VLOOKUP(N6,'ATP - RSAs'!$E:$E,1,FALSE),"#N/A")</f>
        <v>2 or 3</v>
      </c>
      <c r="P6" s="219" t="str">
        <f t="shared" si="2"/>
        <v>Unbranded Condition Unbranded DLBCL Financial Support Download The Patient Brochure 2 or 3</v>
      </c>
      <c r="Q6" s="219" t="str">
        <f>VLOOKUP(P6,'ATP - RSAs'!$N:$N,1,FALSE)</f>
        <v>Unbranded Condition Unbranded DLBCL Financial Support Download The Patient Brochure 2 or 3</v>
      </c>
      <c r="R6" s="218" t="s">
        <v>52</v>
      </c>
      <c r="S6" s="218" t="str">
        <f>IFERROR(VLOOKUP(R6,'ATP - RSAs'!$C:$C,1,FALSE),"#N/A")</f>
        <v>Resources For Patients</v>
      </c>
      <c r="T6" s="219" t="s">
        <v>51</v>
      </c>
      <c r="U6" s="219" t="str">
        <f>IFERROR(VLOOKUP(T6,'ATP - RSAs'!$E:$E,1,FALSE),"#N/A")</f>
        <v>2 or 3</v>
      </c>
      <c r="V6" s="219" t="str">
        <f t="shared" si="3"/>
        <v>Unbranded Condition Unbranded DLBCL Financial Support Resources For Patients 2 or 3</v>
      </c>
      <c r="W6" s="219" t="str">
        <f>VLOOKUP(V6,'ATP - RSAs'!$N:$N,1,FALSE)</f>
        <v>Unbranded Condition Unbranded DLBCL Financial Support Resources For Patients 2 or 3</v>
      </c>
      <c r="X6" s="218" t="s">
        <v>53</v>
      </c>
      <c r="Y6" s="218" t="str">
        <f>IFERROR(VLOOKUP(X6,'ATP - RSAs'!$C:$C,1,FALSE),"#N/A")</f>
        <v>Financial Assistance Options</v>
      </c>
      <c r="Z6" s="219" t="s">
        <v>51</v>
      </c>
      <c r="AA6" s="219" t="str">
        <f>IFERROR(VLOOKUP(Z6,'ATP - RSAs'!$E:$E,1,FALSE),"#N/A")</f>
        <v>2 or 3</v>
      </c>
      <c r="AB6" s="219" t="str">
        <f t="shared" si="4"/>
        <v>Unbranded Condition Unbranded DLBCL Financial Support Financial Assistance Options 2 or 3</v>
      </c>
      <c r="AC6" s="219" t="str">
        <f>VLOOKUP(AB6,'ATP - RSAs'!$N:$N,1,FALSE)</f>
        <v>Unbranded Condition Unbranded DLBCL Financial Support Financial Assistance Options 2 or 3</v>
      </c>
      <c r="AD6" s="218" t="s">
        <v>54</v>
      </c>
      <c r="AE6" s="218" t="str">
        <f>IFERROR(VLOOKUP(AD6,'ATP - RSAs'!$C:$C,1,FALSE),"#N/A")</f>
        <v>Important Safety Information</v>
      </c>
      <c r="AF6" s="219" t="s">
        <v>51</v>
      </c>
      <c r="AG6" s="219" t="str">
        <f>IFERROR(VLOOKUP(AF6,'ATP - RSAs'!$E:$E,1,FALSE),"#N/A")</f>
        <v>2 or 3</v>
      </c>
      <c r="AH6" s="219" t="str">
        <f t="shared" si="5"/>
        <v>Unbranded Condition Unbranded DLBCL Financial Support Important Safety Information 2 or 3</v>
      </c>
      <c r="AI6" s="219" t="str">
        <f>VLOOKUP(AH6,'ATP - RSAs'!$N:$N,1,FALSE)</f>
        <v>Unbranded Condition Unbranded DLBCL Financial Support Important Safety Information 2 or 3</v>
      </c>
      <c r="AJ6" s="218" t="s">
        <v>55</v>
      </c>
      <c r="AK6" s="218" t="str">
        <f>IFERROR(VLOOKUP(AJ6,'ATP - RSAs'!$C:$C,1,FALSE),"#N/A")</f>
        <v>Questions To Ask Your Doctor</v>
      </c>
      <c r="AL6" s="219" t="s">
        <v>51</v>
      </c>
      <c r="AM6" s="219" t="str">
        <f>IFERROR(VLOOKUP(AL6,'ATP - RSAs'!$E:$E,1,FALSE),"#N/A")</f>
        <v>2 or 3</v>
      </c>
      <c r="AN6" s="219" t="str">
        <f t="shared" si="6"/>
        <v>Unbranded Condition Unbranded DLBCL Financial Support Questions To Ask Your Doctor 2 or 3</v>
      </c>
      <c r="AO6" s="219" t="str">
        <f>VLOOKUP(AN6,'ATP - RSAs'!$N:$N,1,FALSE)</f>
        <v>Unbranded Condition Unbranded DLBCL Financial Support Questions To Ask Your Doctor 2 or 3</v>
      </c>
      <c r="AP6" s="218" t="s">
        <v>56</v>
      </c>
      <c r="AQ6" s="218" t="str">
        <f>IFERROR(VLOOKUP(AP6,'ATP - RSAs'!$C:$C,1,FALSE),"#N/A")</f>
        <v>DLBCL Infusion Therapy</v>
      </c>
      <c r="AR6" s="219" t="s">
        <v>51</v>
      </c>
      <c r="AS6" s="219" t="str">
        <f>IFERROR(VLOOKUP(AR6,'ATP - RSAs'!$E:$E,1,FALSE),"#N/A")</f>
        <v>2 or 3</v>
      </c>
      <c r="AT6" s="219" t="str">
        <f t="shared" si="7"/>
        <v>Unbranded Condition Unbranded DLBCL Financial Support DLBCL Infusion Therapy 2 or 3</v>
      </c>
      <c r="AU6" s="219" t="str">
        <f>VLOOKUP(AT6,'ATP - RSAs'!$N:$N,1,FALSE)</f>
        <v>Unbranded Condition Unbranded DLBCL Financial Support DLBCL Infusion Therapy 2 or 3</v>
      </c>
      <c r="AV6" s="218" t="s">
        <v>84</v>
      </c>
      <c r="AW6" s="218" t="str">
        <f>IFERROR(VLOOKUP(AV6,'ATP - RSAs'!$C:$C,1,FALSE),"#N/A")</f>
        <v>Financial Assistance Tool</v>
      </c>
      <c r="AX6" s="219" t="s">
        <v>51</v>
      </c>
      <c r="AY6" s="219" t="str">
        <f>IFERROR(VLOOKUP(AX6,'ATP - RSAs'!$E:$E,1,FALSE),"#N/A")</f>
        <v>2 or 3</v>
      </c>
      <c r="AZ6" s="219" t="str">
        <f t="shared" si="8"/>
        <v>Unbranded Condition Unbranded DLBCL Financial Support Financial Assistance Tool 2 or 3</v>
      </c>
      <c r="BA6" s="219" t="str">
        <f>VLOOKUP(AZ6,'ATP - RSAs'!$N:$N,1,FALSE)</f>
        <v>Unbranded Condition Unbranded DLBCL Financial Support Financial Assistance Tool 2 or 3</v>
      </c>
      <c r="BB6" s="218" t="s">
        <v>58</v>
      </c>
      <c r="BC6" s="218" t="str">
        <f>IFERROR(VLOOKUP(BB6,'ATP - RSAs'!$C:$C,1,FALSE),"#N/A")</f>
        <v>Information For Patients</v>
      </c>
      <c r="BD6" s="219" t="s">
        <v>51</v>
      </c>
      <c r="BE6" s="219" t="str">
        <f>IFERROR(VLOOKUP(BD6,'ATP - RSAs'!$E:$E,1,FALSE),"#N/A")</f>
        <v>2 or 3</v>
      </c>
      <c r="BF6" s="219" t="str">
        <f t="shared" si="9"/>
        <v>Unbranded Condition Unbranded DLBCL Financial Support Information For Patients 2 or 3</v>
      </c>
      <c r="BG6" s="219" t="str">
        <f>VLOOKUP(BF6,'ATP - RSAs'!$N:$N,1,FALSE)</f>
        <v>Unbranded Condition Unbranded DLBCL Financial Support Information For Patients 2 or 3</v>
      </c>
      <c r="BH6" s="218" t="s">
        <v>59</v>
      </c>
      <c r="BI6" s="218" t="str">
        <f>IFERROR(VLOOKUP(BH6,'ATP - RSAs'!$C:$C,1,FALSE),"#N/A")</f>
        <v>Efficacy &amp; Safety Information</v>
      </c>
      <c r="BJ6" s="219" t="s">
        <v>51</v>
      </c>
      <c r="BK6" s="219" t="str">
        <f>IFERROR(VLOOKUP(BJ6,'ATP - RSAs'!$E:$E,1,FALSE),"#N/A")</f>
        <v>2 or 3</v>
      </c>
      <c r="BL6" s="219" t="str">
        <f t="shared" si="10"/>
        <v>Unbranded Condition Unbranded DLBCL Financial Support Efficacy &amp; Safety Information 2 or 3</v>
      </c>
      <c r="BM6" s="219" t="str">
        <f>VLOOKUP(BL6,'ATP - RSAs'!$N:$N,1,FALSE)</f>
        <v>Unbranded Condition Unbranded DLBCL Financial Support Efficacy &amp; Safety Information 2 or 3</v>
      </c>
      <c r="BN6" s="218" t="s">
        <v>85</v>
      </c>
      <c r="BO6" s="218" t="str">
        <f>IFERROR(VLOOKUP(BN6,'ATP - RSAs'!$C:$C,1,FALSE),"#N/A")</f>
        <v>DLBCL Financial Support Info</v>
      </c>
      <c r="BP6" s="219" t="s">
        <v>51</v>
      </c>
      <c r="BQ6" s="219" t="str">
        <f>IFERROR(VLOOKUP(BP6,'ATP - RSAs'!$E:$E,1,FALSE),"#N/A")</f>
        <v>2 or 3</v>
      </c>
      <c r="BR6" s="219" t="str">
        <f t="shared" si="11"/>
        <v>Unbranded Condition Unbranded DLBCL Financial Support DLBCL Financial Support Info 2 or 3</v>
      </c>
      <c r="BS6" s="219" t="str">
        <f>VLOOKUP(BR6,'ATP - RSAs'!$N:$N,1,FALSE)</f>
        <v>Unbranded Condition Unbranded DLBCL Financial Support DLBCL Financial Support Info 2 or 3</v>
      </c>
      <c r="BT6" s="218" t="s">
        <v>62</v>
      </c>
      <c r="BU6" s="218" t="str">
        <f>IFERROR(VLOOKUP(BT6,'ATP - RSAs'!$C:$C,1,FALSE),"#N/A")</f>
        <v>3L+ DLBCL Patient Resources</v>
      </c>
      <c r="BV6" s="219" t="s">
        <v>51</v>
      </c>
      <c r="BW6" s="219" t="str">
        <f>IFERROR(VLOOKUP(BV6,'ATP - RSAs'!$E:$E,1,FALSE),"#N/A")</f>
        <v>2 or 3</v>
      </c>
      <c r="BX6" s="219" t="str">
        <f t="shared" si="12"/>
        <v>Unbranded Condition Unbranded DLBCL Financial Support 3L+ DLBCL Patient Resources 2 or 3</v>
      </c>
      <c r="BY6" s="219" t="str">
        <f>VLOOKUP(BX6,'ATP - RSAs'!$N:$N,1,FALSE)</f>
        <v>Unbranded Condition Unbranded DLBCL Financial Support 3L+ DLBCL Patient Resources 2 or 3</v>
      </c>
      <c r="BZ6" s="218" t="s">
        <v>86</v>
      </c>
      <c r="CA6" s="218" t="str">
        <f>IFERROR(VLOOKUP(BZ6,'ATP - RSAs'!$C:$C,1,FALSE),"#N/A")</f>
        <v>Apply For Financial Support</v>
      </c>
      <c r="CB6" s="219" t="s">
        <v>51</v>
      </c>
      <c r="CC6" s="219" t="str">
        <f>IFERROR(VLOOKUP(CB6,'ATP - RSAs'!$E:$E,1,FALSE),"#N/A")</f>
        <v>2 or 3</v>
      </c>
      <c r="CD6" s="219" t="str">
        <f t="shared" si="13"/>
        <v>Unbranded Condition Unbranded DLBCL Financial Support Apply For Financial Support 2 or 3</v>
      </c>
      <c r="CE6" s="219" t="str">
        <f>VLOOKUP(CD6,'ATP - RSAs'!$N:$N,1,FALSE)</f>
        <v>Unbranded Condition Unbranded DLBCL Financial Support Apply For Financial Support 2 or 3</v>
      </c>
      <c r="CF6" s="218" t="s">
        <v>63</v>
      </c>
      <c r="CG6" s="218" t="str">
        <f>IFERROR(VLOOKUP(CF6,'ATP - RSAs'!$F:$F,1,FALSE),"#N/A")</f>
        <v>Discover A Fixed-Duration Treatment Option For 3L+ DLBCL And View Important Safety Info.</v>
      </c>
      <c r="CH6" s="219" t="s">
        <v>64</v>
      </c>
      <c r="CI6" s="219" t="str">
        <f>IFERROR(VLOOKUP(CH6,'ATP - RSAs'!$H:$H,1,FALSE),"#N/A")</f>
        <v>Any</v>
      </c>
      <c r="CJ6" s="219" t="str">
        <f t="shared" si="14"/>
        <v>Discover A Fixed-Duration Treatment Option For 3L+ DLBCL And View Important Safety Info. Any</v>
      </c>
      <c r="CK6" s="219" t="str">
        <f>VLOOKUP(CJ6,'ATP - RSAs'!$O:$O,1,FALSE)</f>
        <v>Discover A Fixed-Duration Treatment Option For 3L+ DLBCL And View Important Safety Info. Any</v>
      </c>
      <c r="CL6" s="218" t="s">
        <v>66</v>
      </c>
      <c r="CM6" s="218" t="str">
        <f>IFERROR(VLOOKUP(CL6,'ATP - RSAs'!$F:$F,1,FALSE),"#N/A")</f>
        <v>Explore An Infusion Option For Diffuse Large B Cell Lymphoma &amp; View Clinical Results.</v>
      </c>
      <c r="CN6" s="219" t="s">
        <v>64</v>
      </c>
      <c r="CO6" s="219" t="str">
        <f>IFERROR(VLOOKUP(CN6,'ATP - RSAs'!$H:$H,1,FALSE),"#N/A")</f>
        <v>Any</v>
      </c>
      <c r="CP6" s="219" t="str">
        <f t="shared" si="15"/>
        <v>Explore An Infusion Option For Diffuse Large B Cell Lymphoma &amp; View Clinical Results. Any</v>
      </c>
      <c r="CQ6" s="219" t="str">
        <f>VLOOKUP(CP6,'ATP - RSAs'!$O:$O,1,FALSE)</f>
        <v>Explore An Infusion Option For Diffuse Large B Cell Lymphoma &amp; View Clinical Results. Any</v>
      </c>
      <c r="CR6" s="218" t="s">
        <v>87</v>
      </c>
      <c r="CS6" s="218" t="str">
        <f>IFERROR(VLOOKUP(CR6,'ATP - RSAs'!$F:$F,1,FALSE),"#N/A")</f>
        <v>Use The Financial Assistance Tool To See Which Programs May Be Right For You.</v>
      </c>
      <c r="CT6" s="219" t="s">
        <v>64</v>
      </c>
      <c r="CU6" s="219" t="str">
        <f>IFERROR(VLOOKUP(CT6,'ATP - RSAs'!$H:$H,1,FALSE),"#N/A")</f>
        <v>Any</v>
      </c>
      <c r="CV6" s="219" t="str">
        <f t="shared" si="16"/>
        <v>Use The Financial Assistance Tool To See Which Programs May Be Right For You. Any</v>
      </c>
      <c r="CW6" s="219" t="str">
        <f>VLOOKUP(CV6,'ATP - RSAs'!$O:$O,1,FALSE)</f>
        <v>Use The Financial Assistance Tool To See Which Programs May Be Right For You. Any</v>
      </c>
      <c r="CX6" s="218" t="s">
        <v>74</v>
      </c>
      <c r="CY6" s="218" t="str">
        <f>IFERROR(VLOOKUP(CX6,'ATP - RSAs'!$F:$F,1,FALSE),"#N/A")</f>
        <v>Learn More About Starting Treatment For 3L+ DLBCL After Two Or More Prior Therapies.</v>
      </c>
      <c r="CZ6" s="219" t="s">
        <v>64</v>
      </c>
      <c r="DA6" s="219" t="str">
        <f>IFERROR(VLOOKUP(CZ6,'ATP - RSAs'!$H:$H,1,FALSE),"#N/A")</f>
        <v>Any</v>
      </c>
      <c r="DB6" s="219" t="str">
        <f t="shared" si="17"/>
        <v>Learn More About Starting Treatment For 3L+ DLBCL After Two Or More Prior Therapies. Any</v>
      </c>
      <c r="DC6" s="219" t="str">
        <f>VLOOKUP(DB6,'ATP - RSAs'!$O:$O,1,FALSE)</f>
        <v>Learn More About Starting Treatment For 3L+ DLBCL After Two Or More Prior Therapies. Any</v>
      </c>
      <c r="DD6" s="218" t="s">
        <v>68</v>
      </c>
      <c r="DE6" s="2" t="s">
        <v>88</v>
      </c>
    </row>
    <row r="7" spans="1:109" ht="14.4" x14ac:dyDescent="0.3">
      <c r="A7" s="4" t="s">
        <v>46</v>
      </c>
      <c r="B7" s="4" t="str">
        <f>IFERROR(VLOOKUP(A7,'ATP - RSAs'!$A:$A,1,FALSE),"#N/A")</f>
        <v>Unbranded Condition</v>
      </c>
      <c r="C7" s="218" t="s">
        <v>90</v>
      </c>
      <c r="D7" s="218" t="str">
        <f>IFERROR(VLOOKUP(C7,'ATP - RSAs'!$B:$B,1,FALSE),"#N/A")</f>
        <v>Unbranded DLBCL Results</v>
      </c>
      <c r="E7" s="218" t="str">
        <f t="shared" si="0"/>
        <v>Unbranded Condition Unbranded DLBCL Results</v>
      </c>
      <c r="F7" s="218" t="s">
        <v>49</v>
      </c>
      <c r="G7" s="218" t="str">
        <f>IFERROR(VLOOKUP(F7,'ATP - RSAs'!$C:$C,1,FALSE),"#N/A")</f>
        <v>Treatment Option For 3L+ DLBCL</v>
      </c>
      <c r="H7" s="219">
        <v>1</v>
      </c>
      <c r="I7" s="219">
        <f>IFERROR(VLOOKUP(H7,'ATP - RSAs'!$E:$E,1,FALSE),"#N/A")</f>
        <v>1</v>
      </c>
      <c r="J7" s="219" t="str">
        <f t="shared" si="1"/>
        <v>Unbranded Condition Unbranded DLBCL Results Treatment Option For 3L+ DLBCL 1</v>
      </c>
      <c r="K7" s="219" t="str">
        <f>VLOOKUP(J7,'ATP - RSAs'!$N:$N,1,FALSE)</f>
        <v>Unbranded Condition Unbranded DLBCL Results Treatment Option For 3L+ DLBCL 1</v>
      </c>
      <c r="L7" s="218" t="s">
        <v>50</v>
      </c>
      <c r="M7" s="218" t="str">
        <f>IFERROR(VLOOKUP(L7,'ATP - RSAs'!$C:$C,1,FALSE),"#N/A")</f>
        <v>Download The Patient Brochure</v>
      </c>
      <c r="N7" s="219" t="s">
        <v>51</v>
      </c>
      <c r="O7" s="219" t="str">
        <f>IFERROR(VLOOKUP(N7,'ATP - RSAs'!$E:$E,1,FALSE),"#N/A")</f>
        <v>2 or 3</v>
      </c>
      <c r="P7" s="219" t="str">
        <f t="shared" si="2"/>
        <v>Unbranded Condition Unbranded DLBCL Results Download The Patient Brochure 2 or 3</v>
      </c>
      <c r="Q7" s="219" t="str">
        <f>VLOOKUP(P7,'ATP - RSAs'!$N:$N,1,FALSE)</f>
        <v>Unbranded Condition Unbranded DLBCL Results Download The Patient Brochure 2 or 3</v>
      </c>
      <c r="R7" s="218" t="s">
        <v>52</v>
      </c>
      <c r="S7" s="218" t="str">
        <f>IFERROR(VLOOKUP(R7,'ATP - RSAs'!$C:$C,1,FALSE),"#N/A")</f>
        <v>Resources For Patients</v>
      </c>
      <c r="T7" s="219" t="s">
        <v>51</v>
      </c>
      <c r="U7" s="219" t="str">
        <f>IFERROR(VLOOKUP(T7,'ATP - RSAs'!$E:$E,1,FALSE),"#N/A")</f>
        <v>2 or 3</v>
      </c>
      <c r="V7" s="219" t="str">
        <f t="shared" si="3"/>
        <v>Unbranded Condition Unbranded DLBCL Results Resources For Patients 2 or 3</v>
      </c>
      <c r="W7" s="219" t="str">
        <f>VLOOKUP(V7,'ATP - RSAs'!$N:$N,1,FALSE)</f>
        <v>Unbranded Condition Unbranded DLBCL Results Resources For Patients 2 or 3</v>
      </c>
      <c r="X7" s="218" t="s">
        <v>53</v>
      </c>
      <c r="Y7" s="218" t="str">
        <f>IFERROR(VLOOKUP(X7,'ATP - RSAs'!$C:$C,1,FALSE),"#N/A")</f>
        <v>Financial Assistance Options</v>
      </c>
      <c r="Z7" s="219" t="s">
        <v>51</v>
      </c>
      <c r="AA7" s="219" t="str">
        <f>IFERROR(VLOOKUP(Z7,'ATP - RSAs'!$E:$E,1,FALSE),"#N/A")</f>
        <v>2 or 3</v>
      </c>
      <c r="AB7" s="219" t="str">
        <f t="shared" si="4"/>
        <v>Unbranded Condition Unbranded DLBCL Results Financial Assistance Options 2 or 3</v>
      </c>
      <c r="AC7" s="219" t="str">
        <f>VLOOKUP(AB7,'ATP - RSAs'!$N:$N,1,FALSE)</f>
        <v>Unbranded Condition Unbranded DLBCL Results Financial Assistance Options 2 or 3</v>
      </c>
      <c r="AD7" s="218" t="s">
        <v>54</v>
      </c>
      <c r="AE7" s="218" t="str">
        <f>IFERROR(VLOOKUP(AD7,'ATP - RSAs'!$C:$C,1,FALSE),"#N/A")</f>
        <v>Important Safety Information</v>
      </c>
      <c r="AF7" s="219" t="s">
        <v>51</v>
      </c>
      <c r="AG7" s="219" t="str">
        <f>IFERROR(VLOOKUP(AF7,'ATP - RSAs'!$E:$E,1,FALSE),"#N/A")</f>
        <v>2 or 3</v>
      </c>
      <c r="AH7" s="219" t="str">
        <f t="shared" si="5"/>
        <v>Unbranded Condition Unbranded DLBCL Results Important Safety Information 2 or 3</v>
      </c>
      <c r="AI7" s="219" t="str">
        <f>VLOOKUP(AH7,'ATP - RSAs'!$N:$N,1,FALSE)</f>
        <v>Unbranded Condition Unbranded DLBCL Results Important Safety Information 2 or 3</v>
      </c>
      <c r="AJ7" s="218" t="s">
        <v>55</v>
      </c>
      <c r="AK7" s="218" t="str">
        <f>IFERROR(VLOOKUP(AJ7,'ATP - RSAs'!$C:$C,1,FALSE),"#N/A")</f>
        <v>Questions To Ask Your Doctor</v>
      </c>
      <c r="AL7" s="219" t="s">
        <v>51</v>
      </c>
      <c r="AM7" s="219" t="str">
        <f>IFERROR(VLOOKUP(AL7,'ATP - RSAs'!$E:$E,1,FALSE),"#N/A")</f>
        <v>2 or 3</v>
      </c>
      <c r="AN7" s="219" t="str">
        <f t="shared" si="6"/>
        <v>Unbranded Condition Unbranded DLBCL Results Questions To Ask Your Doctor 2 or 3</v>
      </c>
      <c r="AO7" s="219" t="str">
        <f>VLOOKUP(AN7,'ATP - RSAs'!$N:$N,1,FALSE)</f>
        <v>Unbranded Condition Unbranded DLBCL Results Questions To Ask Your Doctor 2 or 3</v>
      </c>
      <c r="AP7" s="218" t="s">
        <v>56</v>
      </c>
      <c r="AQ7" s="218" t="str">
        <f>IFERROR(VLOOKUP(AP7,'ATP - RSAs'!$C:$C,1,FALSE),"#N/A")</f>
        <v>DLBCL Infusion Therapy</v>
      </c>
      <c r="AR7" s="219" t="s">
        <v>51</v>
      </c>
      <c r="AS7" s="219" t="str">
        <f>IFERROR(VLOOKUP(AR7,'ATP - RSAs'!$E:$E,1,FALSE),"#N/A")</f>
        <v>2 or 3</v>
      </c>
      <c r="AT7" s="219" t="str">
        <f t="shared" si="7"/>
        <v>Unbranded Condition Unbranded DLBCL Results DLBCL Infusion Therapy 2 or 3</v>
      </c>
      <c r="AU7" s="219" t="str">
        <f>VLOOKUP(AT7,'ATP - RSAs'!$N:$N,1,FALSE)</f>
        <v>Unbranded Condition Unbranded DLBCL Results DLBCL Infusion Therapy 2 or 3</v>
      </c>
      <c r="AV7" s="218" t="s">
        <v>57</v>
      </c>
      <c r="AW7" s="218" t="str">
        <f>IFERROR(VLOOKUP(AV7,'ATP - RSAs'!$C:$C,1,FALSE),"#N/A")</f>
        <v>Clinical Trial Results</v>
      </c>
      <c r="AX7" s="219" t="s">
        <v>51</v>
      </c>
      <c r="AY7" s="219" t="str">
        <f>IFERROR(VLOOKUP(AX7,'ATP - RSAs'!$E:$E,1,FALSE),"#N/A")</f>
        <v>2 or 3</v>
      </c>
      <c r="AZ7" s="219" t="str">
        <f t="shared" si="8"/>
        <v>Unbranded Condition Unbranded DLBCL Results Clinical Trial Results 2 or 3</v>
      </c>
      <c r="BA7" s="219" t="str">
        <f>VLOOKUP(AZ7,'ATP - RSAs'!$N:$N,1,FALSE)</f>
        <v>Unbranded Condition Unbranded DLBCL Results Clinical Trial Results 2 or 3</v>
      </c>
      <c r="BB7" s="218" t="s">
        <v>58</v>
      </c>
      <c r="BC7" s="218" t="str">
        <f>IFERROR(VLOOKUP(BB7,'ATP - RSAs'!$C:$C,1,FALSE),"#N/A")</f>
        <v>Information For Patients</v>
      </c>
      <c r="BD7" s="219" t="s">
        <v>51</v>
      </c>
      <c r="BE7" s="219" t="str">
        <f>IFERROR(VLOOKUP(BD7,'ATP - RSAs'!$E:$E,1,FALSE),"#N/A")</f>
        <v>2 or 3</v>
      </c>
      <c r="BF7" s="219" t="str">
        <f t="shared" si="9"/>
        <v>Unbranded Condition Unbranded DLBCL Results Information For Patients 2 or 3</v>
      </c>
      <c r="BG7" s="219" t="str">
        <f>VLOOKUP(BF7,'ATP - RSAs'!$N:$N,1,FALSE)</f>
        <v>Unbranded Condition Unbranded DLBCL Results Information For Patients 2 or 3</v>
      </c>
      <c r="BH7" s="218" t="s">
        <v>59</v>
      </c>
      <c r="BI7" s="218" t="str">
        <f>IFERROR(VLOOKUP(BH7,'ATP - RSAs'!$C:$C,1,FALSE),"#N/A")</f>
        <v>Efficacy &amp; Safety Information</v>
      </c>
      <c r="BJ7" s="219" t="s">
        <v>51</v>
      </c>
      <c r="BK7" s="219" t="str">
        <f>IFERROR(VLOOKUP(BJ7,'ATP - RSAs'!$E:$E,1,FALSE),"#N/A")</f>
        <v>2 or 3</v>
      </c>
      <c r="BL7" s="219" t="str">
        <f t="shared" si="10"/>
        <v>Unbranded Condition Unbranded DLBCL Results Efficacy &amp; Safety Information 2 or 3</v>
      </c>
      <c r="BM7" s="219" t="str">
        <f>VLOOKUP(BL7,'ATP - RSAs'!$N:$N,1,FALSE)</f>
        <v>Unbranded Condition Unbranded DLBCL Results Efficacy &amp; Safety Information 2 or 3</v>
      </c>
      <c r="BN7" s="218" t="s">
        <v>72</v>
      </c>
      <c r="BO7" s="218" t="str">
        <f>IFERROR(VLOOKUP(BN7,'ATP - RSAs'!$C:$C,1,FALSE),"#N/A")</f>
        <v>Diffuse Large B-Cell Lymphoma</v>
      </c>
      <c r="BP7" s="219" t="s">
        <v>51</v>
      </c>
      <c r="BQ7" s="219" t="str">
        <f>IFERROR(VLOOKUP(BP7,'ATP - RSAs'!$E:$E,1,FALSE),"#N/A")</f>
        <v>2 or 3</v>
      </c>
      <c r="BR7" s="219" t="str">
        <f t="shared" si="11"/>
        <v>Unbranded Condition Unbranded DLBCL Results Diffuse Large B-Cell Lymphoma 2 or 3</v>
      </c>
      <c r="BS7" s="219" t="str">
        <f>VLOOKUP(BR7,'ATP - RSAs'!$N:$N,1,FALSE)</f>
        <v>Unbranded Condition Unbranded DLBCL Results Diffuse Large B-Cell Lymphoma 2 or 3</v>
      </c>
      <c r="BT7" s="218" t="s">
        <v>73</v>
      </c>
      <c r="BU7" s="218" t="str">
        <f>IFERROR(VLOOKUP(BT7,'ATP - RSAs'!$C:$C,1,FALSE),"#N/A")</f>
        <v>DLBCL Clinical Study Data</v>
      </c>
      <c r="BV7" s="219" t="s">
        <v>51</v>
      </c>
      <c r="BW7" s="219" t="str">
        <f>IFERROR(VLOOKUP(BV7,'ATP - RSAs'!$E:$E,1,FALSE),"#N/A")</f>
        <v>2 or 3</v>
      </c>
      <c r="BX7" s="219" t="str">
        <f t="shared" si="12"/>
        <v>Unbranded Condition Unbranded DLBCL Results DLBCL Clinical Study Data 2 or 3</v>
      </c>
      <c r="BY7" s="219" t="str">
        <f>VLOOKUP(BX7,'ATP - RSAs'!$N:$N,1,FALSE)</f>
        <v>Unbranded Condition Unbranded DLBCL Results DLBCL Clinical Study Data 2 or 3</v>
      </c>
      <c r="BZ7" s="218" t="s">
        <v>60</v>
      </c>
      <c r="CA7" s="218" t="str">
        <f>IFERROR(VLOOKUP(BZ7,'ATP - RSAs'!$C:$C,1,FALSE),"#N/A")</f>
        <v>About DLBCL</v>
      </c>
      <c r="CB7" s="219" t="s">
        <v>51</v>
      </c>
      <c r="CC7" s="219" t="str">
        <f>IFERROR(VLOOKUP(CB7,'ATP - RSAs'!$E:$E,1,FALSE),"#N/A")</f>
        <v>2 or 3</v>
      </c>
      <c r="CD7" s="219" t="str">
        <f t="shared" si="13"/>
        <v>Unbranded Condition Unbranded DLBCL Results About DLBCL 2 or 3</v>
      </c>
      <c r="CE7" s="219" t="str">
        <f>VLOOKUP(CD7,'ATP - RSAs'!$N:$N,1,FALSE)</f>
        <v>Unbranded Condition Unbranded DLBCL Results About DLBCL 2 or 3</v>
      </c>
      <c r="CF7" s="218" t="s">
        <v>63</v>
      </c>
      <c r="CG7" s="218" t="str">
        <f>IFERROR(VLOOKUP(CF7,'ATP - RSAs'!$F:$F,1,FALSE),"#N/A")</f>
        <v>Discover A Fixed-Duration Treatment Option For 3L+ DLBCL And View Important Safety Info.</v>
      </c>
      <c r="CH7" s="219" t="s">
        <v>64</v>
      </c>
      <c r="CI7" s="219" t="str">
        <f>IFERROR(VLOOKUP(CH7,'ATP - RSAs'!$H:$H,1,FALSE),"#N/A")</f>
        <v>Any</v>
      </c>
      <c r="CJ7" s="219" t="str">
        <f t="shared" si="14"/>
        <v>Discover A Fixed-Duration Treatment Option For 3L+ DLBCL And View Important Safety Info. Any</v>
      </c>
      <c r="CK7" s="219" t="str">
        <f>VLOOKUP(CJ7,'ATP - RSAs'!$O:$O,1,FALSE)</f>
        <v>Discover A Fixed-Duration Treatment Option For 3L+ DLBCL And View Important Safety Info. Any</v>
      </c>
      <c r="CL7" s="218" t="s">
        <v>65</v>
      </c>
      <c r="CM7" s="218" t="str">
        <f>IFERROR(VLOOKUP(CL7,'ATP - RSAs'!$F:$F,1,FALSE),"#N/A")</f>
        <v>Download The Patient Brochure To Learn More About A DLBCL Fixed-Duration Treatment.</v>
      </c>
      <c r="CN7" s="219" t="s">
        <v>64</v>
      </c>
      <c r="CO7" s="219" t="str">
        <f>IFERROR(VLOOKUP(CN7,'ATP - RSAs'!$H:$H,1,FALSE),"#N/A")</f>
        <v>Any</v>
      </c>
      <c r="CP7" s="219" t="str">
        <f t="shared" si="15"/>
        <v>Download The Patient Brochure To Learn More About A DLBCL Fixed-Duration Treatment. Any</v>
      </c>
      <c r="CQ7" s="219" t="str">
        <f>VLOOKUP(CP7,'ATP - RSAs'!$O:$O,1,FALSE)</f>
        <v>Download The Patient Brochure To Learn More About A DLBCL Fixed-Duration Treatment. Any</v>
      </c>
      <c r="CR7" s="218" t="s">
        <v>66</v>
      </c>
      <c r="CS7" s="218" t="str">
        <f>IFERROR(VLOOKUP(CR7,'ATP - RSAs'!$F:$F,1,FALSE),"#N/A")</f>
        <v>Explore An Infusion Option For Diffuse Large B Cell Lymphoma &amp; View Clinical Results.</v>
      </c>
      <c r="CT7" s="219" t="s">
        <v>64</v>
      </c>
      <c r="CU7" s="219" t="str">
        <f>IFERROR(VLOOKUP(CT7,'ATP - RSAs'!$H:$H,1,FALSE),"#N/A")</f>
        <v>Any</v>
      </c>
      <c r="CV7" s="219" t="str">
        <f t="shared" si="16"/>
        <v>Explore An Infusion Option For Diffuse Large B Cell Lymphoma &amp; View Clinical Results. Any</v>
      </c>
      <c r="CW7" s="219" t="str">
        <f>VLOOKUP(CV7,'ATP - RSAs'!$O:$O,1,FALSE)</f>
        <v>Explore An Infusion Option For Diffuse Large B Cell Lymphoma &amp; View Clinical Results. Any</v>
      </c>
      <c r="CX7" s="218" t="s">
        <v>74</v>
      </c>
      <c r="CY7" s="218" t="str">
        <f>IFERROR(VLOOKUP(CX7,'ATP - RSAs'!$F:$F,1,FALSE),"#N/A")</f>
        <v>Learn More About Starting Treatment For 3L+ DLBCL After Two Or More Prior Therapies.</v>
      </c>
      <c r="CZ7" s="219" t="s">
        <v>64</v>
      </c>
      <c r="DA7" s="219" t="str">
        <f>IFERROR(VLOOKUP(CZ7,'ATP - RSAs'!$H:$H,1,FALSE),"#N/A")</f>
        <v>Any</v>
      </c>
      <c r="DB7" s="219" t="str">
        <f t="shared" si="17"/>
        <v>Learn More About Starting Treatment For 3L+ DLBCL After Two Or More Prior Therapies. Any</v>
      </c>
      <c r="DC7" s="219" t="str">
        <f>VLOOKUP(DB7,'ATP - RSAs'!$O:$O,1,FALSE)</f>
        <v>Learn More About Starting Treatment For 3L+ DLBCL After Two Or More Prior Therapies. Any</v>
      </c>
      <c r="DD7" s="218" t="s">
        <v>68</v>
      </c>
      <c r="DE7" s="2" t="s">
        <v>91</v>
      </c>
    </row>
    <row r="8" spans="1:109" ht="14.4" x14ac:dyDescent="0.3">
      <c r="A8" s="4" t="s">
        <v>92</v>
      </c>
      <c r="B8" s="4" t="str">
        <f>IFERROR(VLOOKUP(A8,'ATP - RSAs'!$A:$A,1,FALSE),"#N/A")</f>
        <v>Unbranded Treatment</v>
      </c>
      <c r="C8" s="218" t="s">
        <v>95</v>
      </c>
      <c r="D8" s="218" t="str">
        <f>IFERROR(VLOOKUP(C8,'ATP - RSAs'!$B:$B,1,FALSE),"#N/A")</f>
        <v>Unbranded DLBCL Developments</v>
      </c>
      <c r="E8" s="218" t="str">
        <f t="shared" si="0"/>
        <v>Unbranded Treatment Unbranded DLBCL Developments</v>
      </c>
      <c r="F8" s="218" t="s">
        <v>49</v>
      </c>
      <c r="G8" s="218" t="str">
        <f>IFERROR(VLOOKUP(F8,'ATP - RSAs'!$C:$C,1,FALSE),"#N/A")</f>
        <v>Treatment Option For 3L+ DLBCL</v>
      </c>
      <c r="H8" s="219">
        <v>1</v>
      </c>
      <c r="I8" s="219">
        <f>IFERROR(VLOOKUP(H8,'ATP - RSAs'!$E:$E,1,FALSE),"#N/A")</f>
        <v>1</v>
      </c>
      <c r="J8" s="219" t="str">
        <f t="shared" si="1"/>
        <v>Unbranded Treatment Unbranded DLBCL Developments Treatment Option For 3L+ DLBCL 1</v>
      </c>
      <c r="K8" s="219" t="str">
        <f>VLOOKUP(J8,'ATP - RSAs'!$N:$N,1,FALSE)</f>
        <v>Unbranded Treatment Unbranded DLBCL Developments Treatment Option For 3L+ DLBCL 1</v>
      </c>
      <c r="L8" s="218" t="s">
        <v>50</v>
      </c>
      <c r="M8" s="218" t="str">
        <f>IFERROR(VLOOKUP(L8,'ATP - RSAs'!$C:$C,1,FALSE),"#N/A")</f>
        <v>Download The Patient Brochure</v>
      </c>
      <c r="N8" s="219" t="s">
        <v>51</v>
      </c>
      <c r="O8" s="219" t="str">
        <f>IFERROR(VLOOKUP(N8,'ATP - RSAs'!$E:$E,1,FALSE),"#N/A")</f>
        <v>2 or 3</v>
      </c>
      <c r="P8" s="219" t="str">
        <f t="shared" si="2"/>
        <v>Unbranded Treatment Unbranded DLBCL Developments Download The Patient Brochure 2 or 3</v>
      </c>
      <c r="Q8" s="219" t="str">
        <f>VLOOKUP(P8,'ATP - RSAs'!$N:$N,1,FALSE)</f>
        <v>Unbranded Treatment Unbranded DLBCL Developments Download The Patient Brochure 2 or 3</v>
      </c>
      <c r="R8" s="218" t="s">
        <v>52</v>
      </c>
      <c r="S8" s="218" t="str">
        <f>IFERROR(VLOOKUP(R8,'ATP - RSAs'!$C:$C,1,FALSE),"#N/A")</f>
        <v>Resources For Patients</v>
      </c>
      <c r="T8" s="219" t="s">
        <v>51</v>
      </c>
      <c r="U8" s="219" t="str">
        <f>IFERROR(VLOOKUP(T8,'ATP - RSAs'!$E:$E,1,FALSE),"#N/A")</f>
        <v>2 or 3</v>
      </c>
      <c r="V8" s="219" t="str">
        <f t="shared" si="3"/>
        <v>Unbranded Treatment Unbranded DLBCL Developments Resources For Patients 2 or 3</v>
      </c>
      <c r="W8" s="219" t="str">
        <f>VLOOKUP(V8,'ATP - RSAs'!$N:$N,1,FALSE)</f>
        <v>Unbranded Treatment Unbranded DLBCL Developments Resources For Patients 2 or 3</v>
      </c>
      <c r="X8" s="218" t="s">
        <v>53</v>
      </c>
      <c r="Y8" s="218" t="str">
        <f>IFERROR(VLOOKUP(X8,'ATP - RSAs'!$C:$C,1,FALSE),"#N/A")</f>
        <v>Financial Assistance Options</v>
      </c>
      <c r="Z8" s="219" t="s">
        <v>51</v>
      </c>
      <c r="AA8" s="219" t="str">
        <f>IFERROR(VLOOKUP(Z8,'ATP - RSAs'!$E:$E,1,FALSE),"#N/A")</f>
        <v>2 or 3</v>
      </c>
      <c r="AB8" s="219" t="str">
        <f t="shared" si="4"/>
        <v>Unbranded Treatment Unbranded DLBCL Developments Financial Assistance Options 2 or 3</v>
      </c>
      <c r="AC8" s="219" t="str">
        <f>VLOOKUP(AB8,'ATP - RSAs'!$N:$N,1,FALSE)</f>
        <v>Unbranded Treatment Unbranded DLBCL Developments Financial Assistance Options 2 or 3</v>
      </c>
      <c r="AD8" s="218" t="s">
        <v>54</v>
      </c>
      <c r="AE8" s="218" t="str">
        <f>IFERROR(VLOOKUP(AD8,'ATP - RSAs'!$C:$C,1,FALSE),"#N/A")</f>
        <v>Important Safety Information</v>
      </c>
      <c r="AF8" s="219" t="s">
        <v>51</v>
      </c>
      <c r="AG8" s="219" t="str">
        <f>IFERROR(VLOOKUP(AF8,'ATP - RSAs'!$E:$E,1,FALSE),"#N/A")</f>
        <v>2 or 3</v>
      </c>
      <c r="AH8" s="219" t="str">
        <f t="shared" si="5"/>
        <v>Unbranded Treatment Unbranded DLBCL Developments Important Safety Information 2 or 3</v>
      </c>
      <c r="AI8" s="219" t="str">
        <f>VLOOKUP(AH8,'ATP - RSAs'!$N:$N,1,FALSE)</f>
        <v>Unbranded Treatment Unbranded DLBCL Developments Important Safety Information 2 or 3</v>
      </c>
      <c r="AJ8" s="218" t="s">
        <v>55</v>
      </c>
      <c r="AK8" s="218" t="str">
        <f>IFERROR(VLOOKUP(AJ8,'ATP - RSAs'!$C:$C,1,FALSE),"#N/A")</f>
        <v>Questions To Ask Your Doctor</v>
      </c>
      <c r="AL8" s="219" t="s">
        <v>51</v>
      </c>
      <c r="AM8" s="219" t="str">
        <f>IFERROR(VLOOKUP(AL8,'ATP - RSAs'!$E:$E,1,FALSE),"#N/A")</f>
        <v>2 or 3</v>
      </c>
      <c r="AN8" s="219" t="str">
        <f t="shared" si="6"/>
        <v>Unbranded Treatment Unbranded DLBCL Developments Questions To Ask Your Doctor 2 or 3</v>
      </c>
      <c r="AO8" s="219" t="str">
        <f>VLOOKUP(AN8,'ATP - RSAs'!$N:$N,1,FALSE)</f>
        <v>Unbranded Treatment Unbranded DLBCL Developments Questions To Ask Your Doctor 2 or 3</v>
      </c>
      <c r="AP8" s="218" t="s">
        <v>56</v>
      </c>
      <c r="AQ8" s="218" t="str">
        <f>IFERROR(VLOOKUP(AP8,'ATP - RSAs'!$C:$C,1,FALSE),"#N/A")</f>
        <v>DLBCL Infusion Therapy</v>
      </c>
      <c r="AR8" s="219" t="s">
        <v>51</v>
      </c>
      <c r="AS8" s="219" t="str">
        <f>IFERROR(VLOOKUP(AR8,'ATP - RSAs'!$E:$E,1,FALSE),"#N/A")</f>
        <v>2 or 3</v>
      </c>
      <c r="AT8" s="219" t="str">
        <f t="shared" si="7"/>
        <v>Unbranded Treatment Unbranded DLBCL Developments DLBCL Infusion Therapy 2 or 3</v>
      </c>
      <c r="AU8" s="219" t="str">
        <f>VLOOKUP(AT8,'ATP - RSAs'!$N:$N,1,FALSE)</f>
        <v>Unbranded Treatment Unbranded DLBCL Developments DLBCL Infusion Therapy 2 or 3</v>
      </c>
      <c r="AV8" s="218" t="s">
        <v>57</v>
      </c>
      <c r="AW8" s="218" t="str">
        <f>IFERROR(VLOOKUP(AV8,'ATP - RSAs'!$C:$C,1,FALSE),"#N/A")</f>
        <v>Clinical Trial Results</v>
      </c>
      <c r="AX8" s="219" t="s">
        <v>51</v>
      </c>
      <c r="AY8" s="219" t="str">
        <f>IFERROR(VLOOKUP(AX8,'ATP - RSAs'!$E:$E,1,FALSE),"#N/A")</f>
        <v>2 or 3</v>
      </c>
      <c r="AZ8" s="219" t="str">
        <f t="shared" si="8"/>
        <v>Unbranded Treatment Unbranded DLBCL Developments Clinical Trial Results 2 or 3</v>
      </c>
      <c r="BA8" s="219" t="str">
        <f>VLOOKUP(AZ8,'ATP - RSAs'!$N:$N,1,FALSE)</f>
        <v>Unbranded Treatment Unbranded DLBCL Developments Clinical Trial Results 2 or 3</v>
      </c>
      <c r="BB8" s="218" t="s">
        <v>58</v>
      </c>
      <c r="BC8" s="218" t="str">
        <f>IFERROR(VLOOKUP(BB8,'ATP - RSAs'!$C:$C,1,FALSE),"#N/A")</f>
        <v>Information For Patients</v>
      </c>
      <c r="BD8" s="219" t="s">
        <v>51</v>
      </c>
      <c r="BE8" s="219" t="str">
        <f>IFERROR(VLOOKUP(BD8,'ATP - RSAs'!$E:$E,1,FALSE),"#N/A")</f>
        <v>2 or 3</v>
      </c>
      <c r="BF8" s="219" t="str">
        <f t="shared" si="9"/>
        <v>Unbranded Treatment Unbranded DLBCL Developments Information For Patients 2 or 3</v>
      </c>
      <c r="BG8" s="219" t="str">
        <f>VLOOKUP(BF8,'ATP - RSAs'!$N:$N,1,FALSE)</f>
        <v>Unbranded Treatment Unbranded DLBCL Developments Information For Patients 2 or 3</v>
      </c>
      <c r="BH8" s="218" t="s">
        <v>59</v>
      </c>
      <c r="BI8" s="218" t="str">
        <f>IFERROR(VLOOKUP(BH8,'ATP - RSAs'!$C:$C,1,FALSE),"#N/A")</f>
        <v>Efficacy &amp; Safety Information</v>
      </c>
      <c r="BJ8" s="219" t="s">
        <v>51</v>
      </c>
      <c r="BK8" s="219" t="str">
        <f>IFERROR(VLOOKUP(BJ8,'ATP - RSAs'!$E:$E,1,FALSE),"#N/A")</f>
        <v>2 or 3</v>
      </c>
      <c r="BL8" s="219" t="str">
        <f t="shared" si="10"/>
        <v>Unbranded Treatment Unbranded DLBCL Developments Efficacy &amp; Safety Information 2 or 3</v>
      </c>
      <c r="BM8" s="219" t="str">
        <f>VLOOKUP(BL8,'ATP - RSAs'!$N:$N,1,FALSE)</f>
        <v>Unbranded Treatment Unbranded DLBCL Developments Efficacy &amp; Safety Information 2 or 3</v>
      </c>
      <c r="BN8" s="218" t="s">
        <v>72</v>
      </c>
      <c r="BO8" s="218" t="str">
        <f>IFERROR(VLOOKUP(BN8,'ATP - RSAs'!$C:$C,1,FALSE),"#N/A")</f>
        <v>Diffuse Large B-Cell Lymphoma</v>
      </c>
      <c r="BP8" s="219" t="s">
        <v>51</v>
      </c>
      <c r="BQ8" s="219" t="str">
        <f>IFERROR(VLOOKUP(BP8,'ATP - RSAs'!$E:$E,1,FALSE),"#N/A")</f>
        <v>2 or 3</v>
      </c>
      <c r="BR8" s="219" t="str">
        <f t="shared" si="11"/>
        <v>Unbranded Treatment Unbranded DLBCL Developments Diffuse Large B-Cell Lymphoma 2 or 3</v>
      </c>
      <c r="BS8" s="219" t="str">
        <f>VLOOKUP(BR8,'ATP - RSAs'!$N:$N,1,FALSE)</f>
        <v>Unbranded Treatment Unbranded DLBCL Developments Diffuse Large B-Cell Lymphoma 2 or 3</v>
      </c>
      <c r="BT8" s="218" t="s">
        <v>73</v>
      </c>
      <c r="BU8" s="218" t="str">
        <f>IFERROR(VLOOKUP(BT8,'ATP - RSAs'!$C:$C,1,FALSE),"#N/A")</f>
        <v>DLBCL Clinical Study Data</v>
      </c>
      <c r="BV8" s="219" t="s">
        <v>51</v>
      </c>
      <c r="BW8" s="219" t="str">
        <f>IFERROR(VLOOKUP(BV8,'ATP - RSAs'!$E:$E,1,FALSE),"#N/A")</f>
        <v>2 or 3</v>
      </c>
      <c r="BX8" s="219" t="str">
        <f t="shared" si="12"/>
        <v>Unbranded Treatment Unbranded DLBCL Developments DLBCL Clinical Study Data 2 or 3</v>
      </c>
      <c r="BY8" s="219" t="str">
        <f>VLOOKUP(BX8,'ATP - RSAs'!$N:$N,1,FALSE)</f>
        <v>Unbranded Treatment Unbranded DLBCL Developments DLBCL Clinical Study Data 2 or 3</v>
      </c>
      <c r="BZ8" s="218" t="s">
        <v>60</v>
      </c>
      <c r="CA8" s="218" t="str">
        <f>IFERROR(VLOOKUP(BZ8,'ATP - RSAs'!$C:$C,1,FALSE),"#N/A")</f>
        <v>About DLBCL</v>
      </c>
      <c r="CB8" s="219" t="s">
        <v>51</v>
      </c>
      <c r="CC8" s="219" t="str">
        <f>IFERROR(VLOOKUP(CB8,'ATP - RSAs'!$E:$E,1,FALSE),"#N/A")</f>
        <v>2 or 3</v>
      </c>
      <c r="CD8" s="219" t="str">
        <f t="shared" si="13"/>
        <v>Unbranded Treatment Unbranded DLBCL Developments About DLBCL 2 or 3</v>
      </c>
      <c r="CE8" s="219" t="str">
        <f>VLOOKUP(CD8,'ATP - RSAs'!$N:$N,1,FALSE)</f>
        <v>Unbranded Treatment Unbranded DLBCL Developments About DLBCL 2 or 3</v>
      </c>
      <c r="CF8" s="218" t="s">
        <v>63</v>
      </c>
      <c r="CG8" s="218" t="str">
        <f>IFERROR(VLOOKUP(CF8,'ATP - RSAs'!$F:$F,1,FALSE),"#N/A")</f>
        <v>Discover A Fixed-Duration Treatment Option For 3L+ DLBCL And View Important Safety Info.</v>
      </c>
      <c r="CH8" s="219" t="s">
        <v>64</v>
      </c>
      <c r="CI8" s="219" t="str">
        <f>IFERROR(VLOOKUP(CH8,'ATP - RSAs'!$H:$H,1,FALSE),"#N/A")</f>
        <v>Any</v>
      </c>
      <c r="CJ8" s="219" t="str">
        <f t="shared" si="14"/>
        <v>Discover A Fixed-Duration Treatment Option For 3L+ DLBCL And View Important Safety Info. Any</v>
      </c>
      <c r="CK8" s="219" t="str">
        <f>VLOOKUP(CJ8,'ATP - RSAs'!$O:$O,1,FALSE)</f>
        <v>Discover A Fixed-Duration Treatment Option For 3L+ DLBCL And View Important Safety Info. Any</v>
      </c>
      <c r="CL8" s="218"/>
      <c r="CM8" s="218" t="str">
        <f>IFERROR(VLOOKUP(CL8,'ATP - RSAs'!$F:$F,1,FALSE),"#N/A")</f>
        <v>#N/A</v>
      </c>
      <c r="CN8" s="219" t="s">
        <v>64</v>
      </c>
      <c r="CO8" s="219" t="str">
        <f>IFERROR(VLOOKUP(CN8,'ATP - RSAs'!$H:$H,1,FALSE),"#N/A")</f>
        <v>Any</v>
      </c>
      <c r="CP8" s="219" t="str">
        <f t="shared" si="15"/>
        <v xml:space="preserve"> Any</v>
      </c>
      <c r="CQ8" s="219" t="e">
        <f>VLOOKUP(CP8,'ATP - RSAs'!$O:$O,1,FALSE)</f>
        <v>#N/A</v>
      </c>
      <c r="CR8" s="218" t="s">
        <v>66</v>
      </c>
      <c r="CS8" s="218" t="str">
        <f>IFERROR(VLOOKUP(CR8,'ATP - RSAs'!$F:$F,1,FALSE),"#N/A")</f>
        <v>Explore An Infusion Option For Diffuse Large B Cell Lymphoma &amp; View Clinical Results.</v>
      </c>
      <c r="CT8" s="219" t="s">
        <v>64</v>
      </c>
      <c r="CU8" s="219" t="str">
        <f>IFERROR(VLOOKUP(CT8,'ATP - RSAs'!$H:$H,1,FALSE),"#N/A")</f>
        <v>Any</v>
      </c>
      <c r="CV8" s="219" t="str">
        <f t="shared" si="16"/>
        <v>Explore An Infusion Option For Diffuse Large B Cell Lymphoma &amp; View Clinical Results. Any</v>
      </c>
      <c r="CW8" s="219" t="str">
        <f>VLOOKUP(CV8,'ATP - RSAs'!$O:$O,1,FALSE)</f>
        <v>Explore An Infusion Option For Diffuse Large B Cell Lymphoma &amp; View Clinical Results. Any</v>
      </c>
      <c r="CX8" s="218" t="s">
        <v>74</v>
      </c>
      <c r="CY8" s="218" t="str">
        <f>IFERROR(VLOOKUP(CX8,'ATP - RSAs'!$F:$F,1,FALSE),"#N/A")</f>
        <v>Learn More About Starting Treatment For 3L+ DLBCL After Two Or More Prior Therapies.</v>
      </c>
      <c r="CZ8" s="219" t="s">
        <v>64</v>
      </c>
      <c r="DA8" s="219" t="str">
        <f>IFERROR(VLOOKUP(CZ8,'ATP - RSAs'!$H:$H,1,FALSE),"#N/A")</f>
        <v>Any</v>
      </c>
      <c r="DB8" s="219" t="str">
        <f t="shared" si="17"/>
        <v>Learn More About Starting Treatment For 3L+ DLBCL After Two Or More Prior Therapies. Any</v>
      </c>
      <c r="DC8" s="219" t="str">
        <f>VLOOKUP(DB8,'ATP - RSAs'!$O:$O,1,FALSE)</f>
        <v>Learn More About Starting Treatment For 3L+ DLBCL After Two Or More Prior Therapies. Any</v>
      </c>
      <c r="DD8" s="218" t="s">
        <v>68</v>
      </c>
      <c r="DE8" s="2" t="s">
        <v>96</v>
      </c>
    </row>
    <row r="9" spans="1:109" ht="14.4" x14ac:dyDescent="0.3">
      <c r="A9" s="4" t="s">
        <v>92</v>
      </c>
      <c r="B9" s="4" t="str">
        <f>IFERROR(VLOOKUP(A9,'ATP - RSAs'!$A:$A,1,FALSE),"#N/A")</f>
        <v>Unbranded Treatment</v>
      </c>
      <c r="C9" s="218" t="s">
        <v>98</v>
      </c>
      <c r="D9" s="218" t="str">
        <f>IFERROR(VLOOKUP(C9,'ATP - RSAs'!$B:$B,1,FALSE),"#N/A")</f>
        <v>Unbranded DLBCL Treatment</v>
      </c>
      <c r="E9" s="218" t="str">
        <f t="shared" si="0"/>
        <v>Unbranded Treatment Unbranded DLBCL Treatment</v>
      </c>
      <c r="F9" s="218" t="s">
        <v>49</v>
      </c>
      <c r="G9" s="218" t="str">
        <f>IFERROR(VLOOKUP(F9,'ATP - RSAs'!$C:$C,1,FALSE),"#N/A")</f>
        <v>Treatment Option For 3L+ DLBCL</v>
      </c>
      <c r="H9" s="219">
        <v>1</v>
      </c>
      <c r="I9" s="219">
        <f>IFERROR(VLOOKUP(H9,'ATP - RSAs'!$E:$E,1,FALSE),"#N/A")</f>
        <v>1</v>
      </c>
      <c r="J9" s="219" t="str">
        <f t="shared" si="1"/>
        <v>Unbranded Treatment Unbranded DLBCL Treatment Treatment Option For 3L+ DLBCL 1</v>
      </c>
      <c r="K9" s="219" t="str">
        <f>VLOOKUP(J9,'ATP - RSAs'!$N:$N,1,FALSE)</f>
        <v>Unbranded Treatment Unbranded DLBCL Treatment Treatment Option For 3L+ DLBCL 1</v>
      </c>
      <c r="L9" s="218" t="s">
        <v>50</v>
      </c>
      <c r="M9" s="218" t="str">
        <f>IFERROR(VLOOKUP(L9,'ATP - RSAs'!$C:$C,1,FALSE),"#N/A")</f>
        <v>Download The Patient Brochure</v>
      </c>
      <c r="N9" s="219" t="s">
        <v>51</v>
      </c>
      <c r="O9" s="219" t="str">
        <f>IFERROR(VLOOKUP(N9,'ATP - RSAs'!$E:$E,1,FALSE),"#N/A")</f>
        <v>2 or 3</v>
      </c>
      <c r="P9" s="219" t="str">
        <f t="shared" si="2"/>
        <v>Unbranded Treatment Unbranded DLBCL Treatment Download The Patient Brochure 2 or 3</v>
      </c>
      <c r="Q9" s="219" t="str">
        <f>VLOOKUP(P9,'ATP - RSAs'!$N:$N,1,FALSE)</f>
        <v>Unbranded Treatment Unbranded DLBCL Treatment Download The Patient Brochure 2 or 3</v>
      </c>
      <c r="R9" s="218" t="s">
        <v>52</v>
      </c>
      <c r="S9" s="218" t="str">
        <f>IFERROR(VLOOKUP(R9,'ATP - RSAs'!$C:$C,1,FALSE),"#N/A")</f>
        <v>Resources For Patients</v>
      </c>
      <c r="T9" s="219" t="s">
        <v>51</v>
      </c>
      <c r="U9" s="219" t="str">
        <f>IFERROR(VLOOKUP(T9,'ATP - RSAs'!$E:$E,1,FALSE),"#N/A")</f>
        <v>2 or 3</v>
      </c>
      <c r="V9" s="219" t="str">
        <f t="shared" si="3"/>
        <v>Unbranded Treatment Unbranded DLBCL Treatment Resources For Patients 2 or 3</v>
      </c>
      <c r="W9" s="219" t="str">
        <f>VLOOKUP(V9,'ATP - RSAs'!$N:$N,1,FALSE)</f>
        <v>Unbranded Treatment Unbranded DLBCL Treatment Resources For Patients 2 or 3</v>
      </c>
      <c r="X9" s="218" t="s">
        <v>53</v>
      </c>
      <c r="Y9" s="218" t="str">
        <f>IFERROR(VLOOKUP(X9,'ATP - RSAs'!$C:$C,1,FALSE),"#N/A")</f>
        <v>Financial Assistance Options</v>
      </c>
      <c r="Z9" s="219" t="s">
        <v>51</v>
      </c>
      <c r="AA9" s="219" t="str">
        <f>IFERROR(VLOOKUP(Z9,'ATP - RSAs'!$E:$E,1,FALSE),"#N/A")</f>
        <v>2 or 3</v>
      </c>
      <c r="AB9" s="219" t="str">
        <f t="shared" si="4"/>
        <v>Unbranded Treatment Unbranded DLBCL Treatment Financial Assistance Options 2 or 3</v>
      </c>
      <c r="AC9" s="219" t="str">
        <f>VLOOKUP(AB9,'ATP - RSAs'!$N:$N,1,FALSE)</f>
        <v>Unbranded Treatment Unbranded DLBCL Treatment Financial Assistance Options 2 or 3</v>
      </c>
      <c r="AD9" s="218" t="s">
        <v>54</v>
      </c>
      <c r="AE9" s="218" t="str">
        <f>IFERROR(VLOOKUP(AD9,'ATP - RSAs'!$C:$C,1,FALSE),"#N/A")</f>
        <v>Important Safety Information</v>
      </c>
      <c r="AF9" s="219" t="s">
        <v>51</v>
      </c>
      <c r="AG9" s="219" t="str">
        <f>IFERROR(VLOOKUP(AF9,'ATP - RSAs'!$E:$E,1,FALSE),"#N/A")</f>
        <v>2 or 3</v>
      </c>
      <c r="AH9" s="219" t="str">
        <f t="shared" si="5"/>
        <v>Unbranded Treatment Unbranded DLBCL Treatment Important Safety Information 2 or 3</v>
      </c>
      <c r="AI9" s="219" t="str">
        <f>VLOOKUP(AH9,'ATP - RSAs'!$N:$N,1,FALSE)</f>
        <v>Unbranded Treatment Unbranded DLBCL Treatment Important Safety Information 2 or 3</v>
      </c>
      <c r="AJ9" s="218" t="s">
        <v>55</v>
      </c>
      <c r="AK9" s="218" t="str">
        <f>IFERROR(VLOOKUP(AJ9,'ATP - RSAs'!$C:$C,1,FALSE),"#N/A")</f>
        <v>Questions To Ask Your Doctor</v>
      </c>
      <c r="AL9" s="219" t="s">
        <v>51</v>
      </c>
      <c r="AM9" s="219" t="str">
        <f>IFERROR(VLOOKUP(AL9,'ATP - RSAs'!$E:$E,1,FALSE),"#N/A")</f>
        <v>2 or 3</v>
      </c>
      <c r="AN9" s="219" t="str">
        <f t="shared" si="6"/>
        <v>Unbranded Treatment Unbranded DLBCL Treatment Questions To Ask Your Doctor 2 or 3</v>
      </c>
      <c r="AO9" s="219" t="str">
        <f>VLOOKUP(AN9,'ATP - RSAs'!$N:$N,1,FALSE)</f>
        <v>Unbranded Treatment Unbranded DLBCL Treatment Questions To Ask Your Doctor 2 or 3</v>
      </c>
      <c r="AP9" s="218" t="s">
        <v>56</v>
      </c>
      <c r="AQ9" s="218" t="str">
        <f>IFERROR(VLOOKUP(AP9,'ATP - RSAs'!$C:$C,1,FALSE),"#N/A")</f>
        <v>DLBCL Infusion Therapy</v>
      </c>
      <c r="AR9" s="219" t="s">
        <v>51</v>
      </c>
      <c r="AS9" s="219" t="str">
        <f>IFERROR(VLOOKUP(AR9,'ATP - RSAs'!$E:$E,1,FALSE),"#N/A")</f>
        <v>2 or 3</v>
      </c>
      <c r="AT9" s="219" t="str">
        <f t="shared" si="7"/>
        <v>Unbranded Treatment Unbranded DLBCL Treatment DLBCL Infusion Therapy 2 or 3</v>
      </c>
      <c r="AU9" s="219" t="str">
        <f>VLOOKUP(AT9,'ATP - RSAs'!$N:$N,1,FALSE)</f>
        <v>Unbranded Treatment Unbranded DLBCL Treatment DLBCL Infusion Therapy 2 or 3</v>
      </c>
      <c r="AV9" s="218" t="s">
        <v>57</v>
      </c>
      <c r="AW9" s="218" t="str">
        <f>IFERROR(VLOOKUP(AV9,'ATP - RSAs'!$C:$C,1,FALSE),"#N/A")</f>
        <v>Clinical Trial Results</v>
      </c>
      <c r="AX9" s="219" t="s">
        <v>51</v>
      </c>
      <c r="AY9" s="219" t="str">
        <f>IFERROR(VLOOKUP(AX9,'ATP - RSAs'!$E:$E,1,FALSE),"#N/A")</f>
        <v>2 or 3</v>
      </c>
      <c r="AZ9" s="219" t="str">
        <f t="shared" si="8"/>
        <v>Unbranded Treatment Unbranded DLBCL Treatment Clinical Trial Results 2 or 3</v>
      </c>
      <c r="BA9" s="219" t="str">
        <f>VLOOKUP(AZ9,'ATP - RSAs'!$N:$N,1,FALSE)</f>
        <v>Unbranded Treatment Unbranded DLBCL Treatment Clinical Trial Results 2 or 3</v>
      </c>
      <c r="BB9" s="218" t="s">
        <v>58</v>
      </c>
      <c r="BC9" s="218" t="str">
        <f>IFERROR(VLOOKUP(BB9,'ATP - RSAs'!$C:$C,1,FALSE),"#N/A")</f>
        <v>Information For Patients</v>
      </c>
      <c r="BD9" s="219" t="s">
        <v>51</v>
      </c>
      <c r="BE9" s="219" t="str">
        <f>IFERROR(VLOOKUP(BD9,'ATP - RSAs'!$E:$E,1,FALSE),"#N/A")</f>
        <v>2 or 3</v>
      </c>
      <c r="BF9" s="219" t="str">
        <f t="shared" si="9"/>
        <v>Unbranded Treatment Unbranded DLBCL Treatment Information For Patients 2 or 3</v>
      </c>
      <c r="BG9" s="219" t="str">
        <f>VLOOKUP(BF9,'ATP - RSAs'!$N:$N,1,FALSE)</f>
        <v>Unbranded Treatment Unbranded DLBCL Treatment Information For Patients 2 or 3</v>
      </c>
      <c r="BH9" s="218" t="s">
        <v>59</v>
      </c>
      <c r="BI9" s="218" t="str">
        <f>IFERROR(VLOOKUP(BH9,'ATP - RSAs'!$C:$C,1,FALSE),"#N/A")</f>
        <v>Efficacy &amp; Safety Information</v>
      </c>
      <c r="BJ9" s="219" t="s">
        <v>51</v>
      </c>
      <c r="BK9" s="219" t="str">
        <f>IFERROR(VLOOKUP(BJ9,'ATP - RSAs'!$E:$E,1,FALSE),"#N/A")</f>
        <v>2 or 3</v>
      </c>
      <c r="BL9" s="219" t="str">
        <f t="shared" si="10"/>
        <v>Unbranded Treatment Unbranded DLBCL Treatment Efficacy &amp; Safety Information 2 or 3</v>
      </c>
      <c r="BM9" s="219" t="str">
        <f>VLOOKUP(BL9,'ATP - RSAs'!$N:$N,1,FALSE)</f>
        <v>Unbranded Treatment Unbranded DLBCL Treatment Efficacy &amp; Safety Information 2 or 3</v>
      </c>
      <c r="BN9" s="218" t="s">
        <v>99</v>
      </c>
      <c r="BO9" s="218" t="str">
        <f>IFERROR(VLOOKUP(BN9,'ATP - RSAs'!$C:$C,1,FALSE),"#N/A")</f>
        <v>DLBCL Symptoms</v>
      </c>
      <c r="BP9" s="219" t="s">
        <v>51</v>
      </c>
      <c r="BQ9" s="219" t="str">
        <f>IFERROR(VLOOKUP(BP9,'ATP - RSAs'!$E:$E,1,FALSE),"#N/A")</f>
        <v>2 or 3</v>
      </c>
      <c r="BR9" s="219" t="str">
        <f t="shared" si="11"/>
        <v>Unbranded Treatment Unbranded DLBCL Treatment DLBCL Symptoms 2 or 3</v>
      </c>
      <c r="BS9" s="219" t="str">
        <f>VLOOKUP(BR9,'ATP - RSAs'!$N:$N,1,FALSE)</f>
        <v>Unbranded Treatment Unbranded DLBCL Treatment DLBCL Symptoms 2 or 3</v>
      </c>
      <c r="BT9" s="218" t="s">
        <v>100</v>
      </c>
      <c r="BU9" s="218" t="str">
        <f>IFERROR(VLOOKUP(BT9,'ATP - RSAs'!$C:$C,1,FALSE),"#N/A")</f>
        <v>3L+ DLBCL Treatment Option</v>
      </c>
      <c r="BV9" s="219" t="s">
        <v>51</v>
      </c>
      <c r="BW9" s="219" t="str">
        <f>IFERROR(VLOOKUP(BV9,'ATP - RSAs'!$E:$E,1,FALSE),"#N/A")</f>
        <v>2 or 3</v>
      </c>
      <c r="BX9" s="219" t="str">
        <f t="shared" si="12"/>
        <v>Unbranded Treatment Unbranded DLBCL Treatment 3L+ DLBCL Treatment Option 2 or 3</v>
      </c>
      <c r="BY9" s="219" t="str">
        <f>VLOOKUP(BX9,'ATP - RSAs'!$N:$N,1,FALSE)</f>
        <v>Unbranded Treatment Unbranded DLBCL Treatment 3L+ DLBCL Treatment Option 2 or 3</v>
      </c>
      <c r="BZ9" s="218" t="s">
        <v>72</v>
      </c>
      <c r="CA9" s="218" t="str">
        <f>IFERROR(VLOOKUP(BZ9,'ATP - RSAs'!$C:$C,1,FALSE),"#N/A")</f>
        <v>Diffuse Large B-Cell Lymphoma</v>
      </c>
      <c r="CB9" s="219" t="s">
        <v>51</v>
      </c>
      <c r="CC9" s="219" t="str">
        <f>IFERROR(VLOOKUP(CB9,'ATP - RSAs'!$E:$E,1,FALSE),"#N/A")</f>
        <v>2 or 3</v>
      </c>
      <c r="CD9" s="219" t="str">
        <f t="shared" si="13"/>
        <v>Unbranded Treatment Unbranded DLBCL Treatment Diffuse Large B-Cell Lymphoma 2 or 3</v>
      </c>
      <c r="CE9" s="219" t="str">
        <f>VLOOKUP(CD9,'ATP - RSAs'!$N:$N,1,FALSE)</f>
        <v>Unbranded Treatment Unbranded DLBCL Treatment Diffuse Large B-Cell Lymphoma 2 or 3</v>
      </c>
      <c r="CF9" s="218" t="s">
        <v>63</v>
      </c>
      <c r="CG9" s="218" t="str">
        <f>IFERROR(VLOOKUP(CF9,'ATP - RSAs'!$F:$F,1,FALSE),"#N/A")</f>
        <v>Discover A Fixed-Duration Treatment Option For 3L+ DLBCL And View Important Safety Info.</v>
      </c>
      <c r="CH9" s="219" t="s">
        <v>64</v>
      </c>
      <c r="CI9" s="219" t="str">
        <f>IFERROR(VLOOKUP(CH9,'ATP - RSAs'!$H:$H,1,FALSE),"#N/A")</f>
        <v>Any</v>
      </c>
      <c r="CJ9" s="219" t="str">
        <f t="shared" si="14"/>
        <v>Discover A Fixed-Duration Treatment Option For 3L+ DLBCL And View Important Safety Info. Any</v>
      </c>
      <c r="CK9" s="219" t="str">
        <f>VLOOKUP(CJ9,'ATP - RSAs'!$O:$O,1,FALSE)</f>
        <v>Discover A Fixed-Duration Treatment Option For 3L+ DLBCL And View Important Safety Info. Any</v>
      </c>
      <c r="CL9" s="218" t="s">
        <v>65</v>
      </c>
      <c r="CM9" s="218" t="str">
        <f>IFERROR(VLOOKUP(CL9,'ATP - RSAs'!$F:$F,1,FALSE),"#N/A")</f>
        <v>Download The Patient Brochure To Learn More About A DLBCL Fixed-Duration Treatment.</v>
      </c>
      <c r="CN9" s="219" t="s">
        <v>64</v>
      </c>
      <c r="CO9" s="219" t="str">
        <f>IFERROR(VLOOKUP(CN9,'ATP - RSAs'!$H:$H,1,FALSE),"#N/A")</f>
        <v>Any</v>
      </c>
      <c r="CP9" s="219" t="str">
        <f t="shared" si="15"/>
        <v>Download The Patient Brochure To Learn More About A DLBCL Fixed-Duration Treatment. Any</v>
      </c>
      <c r="CQ9" s="219" t="str">
        <f>VLOOKUP(CP9,'ATP - RSAs'!$O:$O,1,FALSE)</f>
        <v>Download The Patient Brochure To Learn More About A DLBCL Fixed-Duration Treatment. Any</v>
      </c>
      <c r="CR9" s="218" t="s">
        <v>66</v>
      </c>
      <c r="CS9" s="218" t="str">
        <f>IFERROR(VLOOKUP(CR9,'ATP - RSAs'!$F:$F,1,FALSE),"#N/A")</f>
        <v>Explore An Infusion Option For Diffuse Large B Cell Lymphoma &amp; View Clinical Results.</v>
      </c>
      <c r="CT9" s="219" t="s">
        <v>64</v>
      </c>
      <c r="CU9" s="219" t="str">
        <f>IFERROR(VLOOKUP(CT9,'ATP - RSAs'!$H:$H,1,FALSE),"#N/A")</f>
        <v>Any</v>
      </c>
      <c r="CV9" s="219" t="str">
        <f t="shared" si="16"/>
        <v>Explore An Infusion Option For Diffuse Large B Cell Lymphoma &amp; View Clinical Results. Any</v>
      </c>
      <c r="CW9" s="219" t="str">
        <f>VLOOKUP(CV9,'ATP - RSAs'!$O:$O,1,FALSE)</f>
        <v>Explore An Infusion Option For Diffuse Large B Cell Lymphoma &amp; View Clinical Results. Any</v>
      </c>
      <c r="CX9" s="218" t="s">
        <v>74</v>
      </c>
      <c r="CY9" s="218" t="str">
        <f>IFERROR(VLOOKUP(CX9,'ATP - RSAs'!$F:$F,1,FALSE),"#N/A")</f>
        <v>Learn More About Starting Treatment For 3L+ DLBCL After Two Or More Prior Therapies.</v>
      </c>
      <c r="CZ9" s="219" t="s">
        <v>64</v>
      </c>
      <c r="DA9" s="219" t="str">
        <f>IFERROR(VLOOKUP(CZ9,'ATP - RSAs'!$H:$H,1,FALSE),"#N/A")</f>
        <v>Any</v>
      </c>
      <c r="DB9" s="219" t="str">
        <f t="shared" si="17"/>
        <v>Learn More About Starting Treatment For 3L+ DLBCL After Two Or More Prior Therapies. Any</v>
      </c>
      <c r="DC9" s="219" t="str">
        <f>VLOOKUP(DB9,'ATP - RSAs'!$O:$O,1,FALSE)</f>
        <v>Learn More About Starting Treatment For 3L+ DLBCL After Two Or More Prior Therapies. Any</v>
      </c>
      <c r="DD9" s="218" t="s">
        <v>68</v>
      </c>
      <c r="DE9" s="2" t="s">
        <v>101</v>
      </c>
    </row>
    <row r="10" spans="1:109" ht="14.4" x14ac:dyDescent="0.3">
      <c r="A10" s="4" t="s">
        <v>92</v>
      </c>
      <c r="B10" s="4" t="str">
        <f>IFERROR(VLOOKUP(A10,'ATP - RSAs'!$A:$A,1,FALSE),"#N/A")</f>
        <v>Unbranded Treatment</v>
      </c>
      <c r="C10" s="218" t="s">
        <v>103</v>
      </c>
      <c r="D10" s="218" t="str">
        <f>IFERROR(VLOOKUP(C10,'ATP - RSAs'!$B:$B,1,FALSE),"#N/A")</f>
        <v>Unbranded DLBCL Medication</v>
      </c>
      <c r="E10" s="218" t="str">
        <f t="shared" si="0"/>
        <v>Unbranded Treatment Unbranded DLBCL Medication</v>
      </c>
      <c r="F10" s="218" t="s">
        <v>104</v>
      </c>
      <c r="G10" s="218" t="str">
        <f>IFERROR(VLOOKUP(F10,'ATP - RSAs'!$C:$C,1,FALSE),"#N/A")</f>
        <v>Medication For 3L+ DLBCL</v>
      </c>
      <c r="H10" s="219" t="s">
        <v>528</v>
      </c>
      <c r="I10" s="219" t="str">
        <f>IFERROR(VLOOKUP(H10,'ATP - RSAs'!$E:$E,1,FALSE),"#N/A")</f>
        <v>#N/A</v>
      </c>
      <c r="J10" s="219" t="str">
        <f t="shared" si="1"/>
        <v>Unbranded Treatment Unbranded DLBCL Medication Medication For 3L+ DLBCL y</v>
      </c>
      <c r="K10" s="219" t="e">
        <f>VLOOKUP(J10,'ATP - RSAs'!$N:$N,1,FALSE)</f>
        <v>#N/A</v>
      </c>
      <c r="L10" s="218" t="s">
        <v>50</v>
      </c>
      <c r="M10" s="218" t="str">
        <f>IFERROR(VLOOKUP(L10,'ATP - RSAs'!$C:$C,1,FALSE),"#N/A")</f>
        <v>Download The Patient Brochure</v>
      </c>
      <c r="N10" s="219" t="s">
        <v>51</v>
      </c>
      <c r="O10" s="219" t="str">
        <f>IFERROR(VLOOKUP(N10,'ATP - RSAs'!$E:$E,1,FALSE),"#N/A")</f>
        <v>2 or 3</v>
      </c>
      <c r="P10" s="219" t="str">
        <f t="shared" si="2"/>
        <v>Unbranded Treatment Unbranded DLBCL Medication Download The Patient Brochure 2 or 3</v>
      </c>
      <c r="Q10" s="219" t="str">
        <f>VLOOKUP(P10,'ATP - RSAs'!$N:$N,1,FALSE)</f>
        <v>Unbranded Treatment Unbranded DLBCL Medication Download The Patient Brochure 2 or 3</v>
      </c>
      <c r="R10" s="218" t="s">
        <v>52</v>
      </c>
      <c r="S10" s="218" t="str">
        <f>IFERROR(VLOOKUP(R10,'ATP - RSAs'!$C:$C,1,FALSE),"#N/A")</f>
        <v>Resources For Patients</v>
      </c>
      <c r="T10" s="219" t="s">
        <v>51</v>
      </c>
      <c r="U10" s="219" t="str">
        <f>IFERROR(VLOOKUP(T10,'ATP - RSAs'!$E:$E,1,FALSE),"#N/A")</f>
        <v>2 or 3</v>
      </c>
      <c r="V10" s="219" t="str">
        <f t="shared" si="3"/>
        <v>Unbranded Treatment Unbranded DLBCL Medication Resources For Patients 2 or 3</v>
      </c>
      <c r="W10" s="219" t="str">
        <f>VLOOKUP(V10,'ATP - RSAs'!$N:$N,1,FALSE)</f>
        <v>Unbranded Treatment Unbranded DLBCL Medication Resources For Patients 2 or 3</v>
      </c>
      <c r="X10" s="218" t="s">
        <v>53</v>
      </c>
      <c r="Y10" s="218" t="str">
        <f>IFERROR(VLOOKUP(X10,'ATP - RSAs'!$C:$C,1,FALSE),"#N/A")</f>
        <v>Financial Assistance Options</v>
      </c>
      <c r="Z10" s="219" t="s">
        <v>51</v>
      </c>
      <c r="AA10" s="219" t="str">
        <f>IFERROR(VLOOKUP(Z10,'ATP - RSAs'!$E:$E,1,FALSE),"#N/A")</f>
        <v>2 or 3</v>
      </c>
      <c r="AB10" s="219" t="str">
        <f t="shared" si="4"/>
        <v>Unbranded Treatment Unbranded DLBCL Medication Financial Assistance Options 2 or 3</v>
      </c>
      <c r="AC10" s="219" t="str">
        <f>VLOOKUP(AB10,'ATP - RSAs'!$N:$N,1,FALSE)</f>
        <v>Unbranded Treatment Unbranded DLBCL Medication Financial Assistance Options 2 or 3</v>
      </c>
      <c r="AD10" s="218" t="s">
        <v>54</v>
      </c>
      <c r="AE10" s="218" t="str">
        <f>IFERROR(VLOOKUP(AD10,'ATP - RSAs'!$C:$C,1,FALSE),"#N/A")</f>
        <v>Important Safety Information</v>
      </c>
      <c r="AF10" s="219" t="s">
        <v>51</v>
      </c>
      <c r="AG10" s="219" t="str">
        <f>IFERROR(VLOOKUP(AF10,'ATP - RSAs'!$E:$E,1,FALSE),"#N/A")</f>
        <v>2 or 3</v>
      </c>
      <c r="AH10" s="219" t="str">
        <f t="shared" si="5"/>
        <v>Unbranded Treatment Unbranded DLBCL Medication Important Safety Information 2 or 3</v>
      </c>
      <c r="AI10" s="219" t="str">
        <f>VLOOKUP(AH10,'ATP - RSAs'!$N:$N,1,FALSE)</f>
        <v>Unbranded Treatment Unbranded DLBCL Medication Important Safety Information 2 or 3</v>
      </c>
      <c r="AJ10" s="218" t="s">
        <v>55</v>
      </c>
      <c r="AK10" s="218" t="str">
        <f>IFERROR(VLOOKUP(AJ10,'ATP - RSAs'!$C:$C,1,FALSE),"#N/A")</f>
        <v>Questions To Ask Your Doctor</v>
      </c>
      <c r="AL10" s="219" t="s">
        <v>51</v>
      </c>
      <c r="AM10" s="219" t="str">
        <f>IFERROR(VLOOKUP(AL10,'ATP - RSAs'!$E:$E,1,FALSE),"#N/A")</f>
        <v>2 or 3</v>
      </c>
      <c r="AN10" s="219" t="str">
        <f t="shared" si="6"/>
        <v>Unbranded Treatment Unbranded DLBCL Medication Questions To Ask Your Doctor 2 or 3</v>
      </c>
      <c r="AO10" s="219" t="str">
        <f>VLOOKUP(AN10,'ATP - RSAs'!$N:$N,1,FALSE)</f>
        <v>Unbranded Treatment Unbranded DLBCL Medication Questions To Ask Your Doctor 2 or 3</v>
      </c>
      <c r="AP10" s="218" t="s">
        <v>56</v>
      </c>
      <c r="AQ10" s="218" t="str">
        <f>IFERROR(VLOOKUP(AP10,'ATP - RSAs'!$C:$C,1,FALSE),"#N/A")</f>
        <v>DLBCL Infusion Therapy</v>
      </c>
      <c r="AR10" s="219" t="s">
        <v>51</v>
      </c>
      <c r="AS10" s="219" t="str">
        <f>IFERROR(VLOOKUP(AR10,'ATP - RSAs'!$E:$E,1,FALSE),"#N/A")</f>
        <v>2 or 3</v>
      </c>
      <c r="AT10" s="219" t="str">
        <f t="shared" si="7"/>
        <v>Unbranded Treatment Unbranded DLBCL Medication DLBCL Infusion Therapy 2 or 3</v>
      </c>
      <c r="AU10" s="219" t="str">
        <f>VLOOKUP(AT10,'ATP - RSAs'!$N:$N,1,FALSE)</f>
        <v>Unbranded Treatment Unbranded DLBCL Medication DLBCL Infusion Therapy 2 or 3</v>
      </c>
      <c r="AV10" s="218" t="s">
        <v>57</v>
      </c>
      <c r="AW10" s="218" t="str">
        <f>IFERROR(VLOOKUP(AV10,'ATP - RSAs'!$C:$C,1,FALSE),"#N/A")</f>
        <v>Clinical Trial Results</v>
      </c>
      <c r="AX10" s="219" t="s">
        <v>51</v>
      </c>
      <c r="AY10" s="219" t="str">
        <f>IFERROR(VLOOKUP(AX10,'ATP - RSAs'!$E:$E,1,FALSE),"#N/A")</f>
        <v>2 or 3</v>
      </c>
      <c r="AZ10" s="219" t="str">
        <f t="shared" si="8"/>
        <v>Unbranded Treatment Unbranded DLBCL Medication Clinical Trial Results 2 or 3</v>
      </c>
      <c r="BA10" s="219" t="str">
        <f>VLOOKUP(AZ10,'ATP - RSAs'!$N:$N,1,FALSE)</f>
        <v>Unbranded Treatment Unbranded DLBCL Medication Clinical Trial Results 2 or 3</v>
      </c>
      <c r="BB10" s="218" t="s">
        <v>58</v>
      </c>
      <c r="BC10" s="218" t="str">
        <f>IFERROR(VLOOKUP(BB10,'ATP - RSAs'!$C:$C,1,FALSE),"#N/A")</f>
        <v>Information For Patients</v>
      </c>
      <c r="BD10" s="219" t="s">
        <v>51</v>
      </c>
      <c r="BE10" s="219" t="str">
        <f>IFERROR(VLOOKUP(BD10,'ATP - RSAs'!$E:$E,1,FALSE),"#N/A")</f>
        <v>2 or 3</v>
      </c>
      <c r="BF10" s="219" t="str">
        <f t="shared" si="9"/>
        <v>Unbranded Treatment Unbranded DLBCL Medication Information For Patients 2 or 3</v>
      </c>
      <c r="BG10" s="219" t="str">
        <f>VLOOKUP(BF10,'ATP - RSAs'!$N:$N,1,FALSE)</f>
        <v>Unbranded Treatment Unbranded DLBCL Medication Information For Patients 2 or 3</v>
      </c>
      <c r="BH10" s="218" t="s">
        <v>59</v>
      </c>
      <c r="BI10" s="218" t="str">
        <f>IFERROR(VLOOKUP(BH10,'ATP - RSAs'!$C:$C,1,FALSE),"#N/A")</f>
        <v>Efficacy &amp; Safety Information</v>
      </c>
      <c r="BJ10" s="219" t="s">
        <v>51</v>
      </c>
      <c r="BK10" s="219" t="str">
        <f>IFERROR(VLOOKUP(BJ10,'ATP - RSAs'!$E:$E,1,FALSE),"#N/A")</f>
        <v>2 or 3</v>
      </c>
      <c r="BL10" s="219" t="str">
        <f t="shared" si="10"/>
        <v>Unbranded Treatment Unbranded DLBCL Medication Efficacy &amp; Safety Information 2 or 3</v>
      </c>
      <c r="BM10" s="219" t="str">
        <f>VLOOKUP(BL10,'ATP - RSAs'!$N:$N,1,FALSE)</f>
        <v>Unbranded Treatment Unbranded DLBCL Medication Efficacy &amp; Safety Information 2 or 3</v>
      </c>
      <c r="BN10" s="218" t="s">
        <v>105</v>
      </c>
      <c r="BO10" s="218" t="str">
        <f>IFERROR(VLOOKUP(BN10,'ATP - RSAs'!$C:$C,1,FALSE),"#N/A")</f>
        <v>DLBCL Intravenous Infusion</v>
      </c>
      <c r="BP10" s="219" t="s">
        <v>51</v>
      </c>
      <c r="BQ10" s="219" t="str">
        <f>IFERROR(VLOOKUP(BP10,'ATP - RSAs'!$E:$E,1,FALSE),"#N/A")</f>
        <v>2 or 3</v>
      </c>
      <c r="BR10" s="219" t="str">
        <f t="shared" si="11"/>
        <v>Unbranded Treatment Unbranded DLBCL Medication DLBCL Intravenous Infusion 2 or 3</v>
      </c>
      <c r="BS10" s="219" t="str">
        <f>VLOOKUP(BR10,'ATP - RSAs'!$N:$N,1,FALSE)</f>
        <v>Unbranded Treatment Unbranded DLBCL Medication DLBCL Intravenous Infusion 2 or 3</v>
      </c>
      <c r="BT10" s="218" t="s">
        <v>106</v>
      </c>
      <c r="BU10" s="218" t="str">
        <f>IFERROR(VLOOKUP(BT10,'ATP - RSAs'!$C:$C,1,FALSE),"#N/A")</f>
        <v>3L+ DLBCL Dosing Schedule Info</v>
      </c>
      <c r="BV10" s="219" t="s">
        <v>51</v>
      </c>
      <c r="BW10" s="219" t="str">
        <f>IFERROR(VLOOKUP(BV10,'ATP - RSAs'!$E:$E,1,FALSE),"#N/A")</f>
        <v>2 or 3</v>
      </c>
      <c r="BX10" s="219" t="str">
        <f t="shared" si="12"/>
        <v>Unbranded Treatment Unbranded DLBCL Medication 3L+ DLBCL Dosing Schedule Info 2 or 3</v>
      </c>
      <c r="BY10" s="219" t="str">
        <f>VLOOKUP(BX10,'ATP - RSAs'!$N:$N,1,FALSE)</f>
        <v>Unbranded Treatment Unbranded DLBCL Medication 3L+ DLBCL Dosing Schedule Info 2 or 3</v>
      </c>
      <c r="BZ10" s="218" t="s">
        <v>72</v>
      </c>
      <c r="CA10" s="218" t="str">
        <f>IFERROR(VLOOKUP(BZ10,'ATP - RSAs'!$C:$C,1,FALSE),"#N/A")</f>
        <v>Diffuse Large B-Cell Lymphoma</v>
      </c>
      <c r="CB10" s="219" t="s">
        <v>51</v>
      </c>
      <c r="CC10" s="219" t="str">
        <f>IFERROR(VLOOKUP(CB10,'ATP - RSAs'!$E:$E,1,FALSE),"#N/A")</f>
        <v>2 or 3</v>
      </c>
      <c r="CD10" s="219" t="str">
        <f t="shared" si="13"/>
        <v>Unbranded Treatment Unbranded DLBCL Medication Diffuse Large B-Cell Lymphoma 2 or 3</v>
      </c>
      <c r="CE10" s="219" t="str">
        <f>VLOOKUP(CD10,'ATP - RSAs'!$N:$N,1,FALSE)</f>
        <v>Unbranded Treatment Unbranded DLBCL Medication Diffuse Large B-Cell Lymphoma 2 or 3</v>
      </c>
      <c r="CF10" s="218" t="s">
        <v>63</v>
      </c>
      <c r="CG10" s="218" t="str">
        <f>IFERROR(VLOOKUP(CF10,'ATP - RSAs'!$F:$F,1,FALSE),"#N/A")</f>
        <v>Discover A Fixed-Duration Treatment Option For 3L+ DLBCL And View Important Safety Info.</v>
      </c>
      <c r="CH10" s="219" t="s">
        <v>64</v>
      </c>
      <c r="CI10" s="219" t="str">
        <f>IFERROR(VLOOKUP(CH10,'ATP - RSAs'!$H:$H,1,FALSE),"#N/A")</f>
        <v>Any</v>
      </c>
      <c r="CJ10" s="219" t="str">
        <f t="shared" si="14"/>
        <v>Discover A Fixed-Duration Treatment Option For 3L+ DLBCL And View Important Safety Info. Any</v>
      </c>
      <c r="CK10" s="219" t="str">
        <f>VLOOKUP(CJ10,'ATP - RSAs'!$O:$O,1,FALSE)</f>
        <v>Discover A Fixed-Duration Treatment Option For 3L+ DLBCL And View Important Safety Info. Any</v>
      </c>
      <c r="CL10" s="218" t="s">
        <v>65</v>
      </c>
      <c r="CM10" s="218" t="str">
        <f>IFERROR(VLOOKUP(CL10,'ATP - RSAs'!$F:$F,1,FALSE),"#N/A")</f>
        <v>Download The Patient Brochure To Learn More About A DLBCL Fixed-Duration Treatment.</v>
      </c>
      <c r="CN10" s="219" t="s">
        <v>64</v>
      </c>
      <c r="CO10" s="219" t="str">
        <f>IFERROR(VLOOKUP(CN10,'ATP - RSAs'!$H:$H,1,FALSE),"#N/A")</f>
        <v>Any</v>
      </c>
      <c r="CP10" s="219" t="str">
        <f t="shared" si="15"/>
        <v>Download The Patient Brochure To Learn More About A DLBCL Fixed-Duration Treatment. Any</v>
      </c>
      <c r="CQ10" s="219" t="str">
        <f>VLOOKUP(CP10,'ATP - RSAs'!$O:$O,1,FALSE)</f>
        <v>Download The Patient Brochure To Learn More About A DLBCL Fixed-Duration Treatment. Any</v>
      </c>
      <c r="CR10" s="218" t="s">
        <v>66</v>
      </c>
      <c r="CS10" s="218" t="str">
        <f>IFERROR(VLOOKUP(CR10,'ATP - RSAs'!$F:$F,1,FALSE),"#N/A")</f>
        <v>Explore An Infusion Option For Diffuse Large B Cell Lymphoma &amp; View Clinical Results.</v>
      </c>
      <c r="CT10" s="219" t="s">
        <v>64</v>
      </c>
      <c r="CU10" s="219" t="str">
        <f>IFERROR(VLOOKUP(CT10,'ATP - RSAs'!$H:$H,1,FALSE),"#N/A")</f>
        <v>Any</v>
      </c>
      <c r="CV10" s="219" t="str">
        <f t="shared" si="16"/>
        <v>Explore An Infusion Option For Diffuse Large B Cell Lymphoma &amp; View Clinical Results. Any</v>
      </c>
      <c r="CW10" s="219" t="str">
        <f>VLOOKUP(CV10,'ATP - RSAs'!$O:$O,1,FALSE)</f>
        <v>Explore An Infusion Option For Diffuse Large B Cell Lymphoma &amp; View Clinical Results. Any</v>
      </c>
      <c r="CX10" s="218" t="s">
        <v>74</v>
      </c>
      <c r="CY10" s="218" t="str">
        <f>IFERROR(VLOOKUP(CX10,'ATP - RSAs'!$F:$F,1,FALSE),"#N/A")</f>
        <v>Learn More About Starting Treatment For 3L+ DLBCL After Two Or More Prior Therapies.</v>
      </c>
      <c r="CZ10" s="219" t="s">
        <v>64</v>
      </c>
      <c r="DA10" s="219" t="str">
        <f>IFERROR(VLOOKUP(CZ10,'ATP - RSAs'!$H:$H,1,FALSE),"#N/A")</f>
        <v>Any</v>
      </c>
      <c r="DB10" s="219" t="str">
        <f t="shared" si="17"/>
        <v>Learn More About Starting Treatment For 3L+ DLBCL After Two Or More Prior Therapies. Any</v>
      </c>
      <c r="DC10" s="219" t="str">
        <f>VLOOKUP(DB10,'ATP - RSAs'!$O:$O,1,FALSE)</f>
        <v>Learn More About Starting Treatment For 3L+ DLBCL After Two Or More Prior Therapies. Any</v>
      </c>
      <c r="DD10" s="218" t="s">
        <v>68</v>
      </c>
      <c r="DE10" s="2" t="s">
        <v>107</v>
      </c>
    </row>
    <row r="11" spans="1:109" ht="14.4" x14ac:dyDescent="0.3">
      <c r="A11" s="4" t="s">
        <v>92</v>
      </c>
      <c r="B11" s="4" t="str">
        <f>IFERROR(VLOOKUP(A11,'ATP - RSAs'!$A:$A,1,FALSE),"#N/A")</f>
        <v>Unbranded Treatment</v>
      </c>
      <c r="C11" s="218" t="s">
        <v>109</v>
      </c>
      <c r="D11" s="218" t="str">
        <f>IFERROR(VLOOKUP(C11,'ATP - RSAs'!$B:$B,1,FALSE),"#N/A")</f>
        <v>Unbranded DLBCL Therapy</v>
      </c>
      <c r="E11" s="218" t="str">
        <f t="shared" si="0"/>
        <v>Unbranded Treatment Unbranded DLBCL Therapy</v>
      </c>
      <c r="F11" s="218" t="s">
        <v>110</v>
      </c>
      <c r="G11" s="218" t="str">
        <f>IFERROR(VLOOKUP(F11,'ATP - RSAs'!$C:$C,1,FALSE),"#N/A")</f>
        <v>Therapy Option For 3L+ DLBCL</v>
      </c>
      <c r="H11" s="219">
        <v>1</v>
      </c>
      <c r="I11" s="219">
        <f>IFERROR(VLOOKUP(H11,'ATP - RSAs'!$E:$E,1,FALSE),"#N/A")</f>
        <v>1</v>
      </c>
      <c r="J11" s="219" t="str">
        <f t="shared" si="1"/>
        <v>Unbranded Treatment Unbranded DLBCL Therapy Therapy Option For 3L+ DLBCL 1</v>
      </c>
      <c r="K11" s="219" t="str">
        <f>VLOOKUP(J11,'ATP - RSAs'!$N:$N,1,FALSE)</f>
        <v>Unbranded Treatment Unbranded DLBCL Therapy Therapy Option For 3L+ DLBCL 1</v>
      </c>
      <c r="L11" s="218" t="s">
        <v>50</v>
      </c>
      <c r="M11" s="218" t="str">
        <f>IFERROR(VLOOKUP(L11,'ATP - RSAs'!$C:$C,1,FALSE),"#N/A")</f>
        <v>Download The Patient Brochure</v>
      </c>
      <c r="N11" s="219" t="s">
        <v>51</v>
      </c>
      <c r="O11" s="219" t="str">
        <f>IFERROR(VLOOKUP(N11,'ATP - RSAs'!$E:$E,1,FALSE),"#N/A")</f>
        <v>2 or 3</v>
      </c>
      <c r="P11" s="219" t="str">
        <f t="shared" si="2"/>
        <v>Unbranded Treatment Unbranded DLBCL Therapy Download The Patient Brochure 2 or 3</v>
      </c>
      <c r="Q11" s="219" t="str">
        <f>VLOOKUP(P11,'ATP - RSAs'!$N:$N,1,FALSE)</f>
        <v>Unbranded Treatment Unbranded DLBCL Therapy Download The Patient Brochure 2 or 3</v>
      </c>
      <c r="R11" s="218" t="s">
        <v>52</v>
      </c>
      <c r="S11" s="218" t="str">
        <f>IFERROR(VLOOKUP(R11,'ATP - RSAs'!$C:$C,1,FALSE),"#N/A")</f>
        <v>Resources For Patients</v>
      </c>
      <c r="T11" s="219" t="s">
        <v>51</v>
      </c>
      <c r="U11" s="219" t="str">
        <f>IFERROR(VLOOKUP(T11,'ATP - RSAs'!$E:$E,1,FALSE),"#N/A")</f>
        <v>2 or 3</v>
      </c>
      <c r="V11" s="219" t="str">
        <f t="shared" si="3"/>
        <v>Unbranded Treatment Unbranded DLBCL Therapy Resources For Patients 2 or 3</v>
      </c>
      <c r="W11" s="219" t="str">
        <f>VLOOKUP(V11,'ATP - RSAs'!$N:$N,1,FALSE)</f>
        <v>Unbranded Treatment Unbranded DLBCL Therapy Resources For Patients 2 or 3</v>
      </c>
      <c r="X11" s="218" t="s">
        <v>53</v>
      </c>
      <c r="Y11" s="218" t="str">
        <f>IFERROR(VLOOKUP(X11,'ATP - RSAs'!$C:$C,1,FALSE),"#N/A")</f>
        <v>Financial Assistance Options</v>
      </c>
      <c r="Z11" s="219" t="s">
        <v>51</v>
      </c>
      <c r="AA11" s="219" t="str">
        <f>IFERROR(VLOOKUP(Z11,'ATP - RSAs'!$E:$E,1,FALSE),"#N/A")</f>
        <v>2 or 3</v>
      </c>
      <c r="AB11" s="219" t="str">
        <f t="shared" si="4"/>
        <v>Unbranded Treatment Unbranded DLBCL Therapy Financial Assistance Options 2 or 3</v>
      </c>
      <c r="AC11" s="219" t="str">
        <f>VLOOKUP(AB11,'ATP - RSAs'!$N:$N,1,FALSE)</f>
        <v>Unbranded Treatment Unbranded DLBCL Therapy Financial Assistance Options 2 or 3</v>
      </c>
      <c r="AD11" s="218" t="s">
        <v>54</v>
      </c>
      <c r="AE11" s="218" t="str">
        <f>IFERROR(VLOOKUP(AD11,'ATP - RSAs'!$C:$C,1,FALSE),"#N/A")</f>
        <v>Important Safety Information</v>
      </c>
      <c r="AF11" s="219" t="s">
        <v>51</v>
      </c>
      <c r="AG11" s="219" t="str">
        <f>IFERROR(VLOOKUP(AF11,'ATP - RSAs'!$E:$E,1,FALSE),"#N/A")</f>
        <v>2 or 3</v>
      </c>
      <c r="AH11" s="219" t="str">
        <f t="shared" si="5"/>
        <v>Unbranded Treatment Unbranded DLBCL Therapy Important Safety Information 2 or 3</v>
      </c>
      <c r="AI11" s="219" t="str">
        <f>VLOOKUP(AH11,'ATP - RSAs'!$N:$N,1,FALSE)</f>
        <v>Unbranded Treatment Unbranded DLBCL Therapy Important Safety Information 2 or 3</v>
      </c>
      <c r="AJ11" s="218" t="s">
        <v>55</v>
      </c>
      <c r="AK11" s="218" t="str">
        <f>IFERROR(VLOOKUP(AJ11,'ATP - RSAs'!$C:$C,1,FALSE),"#N/A")</f>
        <v>Questions To Ask Your Doctor</v>
      </c>
      <c r="AL11" s="219" t="s">
        <v>51</v>
      </c>
      <c r="AM11" s="219" t="str">
        <f>IFERROR(VLOOKUP(AL11,'ATP - RSAs'!$E:$E,1,FALSE),"#N/A")</f>
        <v>2 or 3</v>
      </c>
      <c r="AN11" s="219" t="str">
        <f t="shared" si="6"/>
        <v>Unbranded Treatment Unbranded DLBCL Therapy Questions To Ask Your Doctor 2 or 3</v>
      </c>
      <c r="AO11" s="219" t="str">
        <f>VLOOKUP(AN11,'ATP - RSAs'!$N:$N,1,FALSE)</f>
        <v>Unbranded Treatment Unbranded DLBCL Therapy Questions To Ask Your Doctor 2 or 3</v>
      </c>
      <c r="AP11" s="218" t="s">
        <v>56</v>
      </c>
      <c r="AQ11" s="218" t="str">
        <f>IFERROR(VLOOKUP(AP11,'ATP - RSAs'!$C:$C,1,FALSE),"#N/A")</f>
        <v>DLBCL Infusion Therapy</v>
      </c>
      <c r="AR11" s="219" t="s">
        <v>51</v>
      </c>
      <c r="AS11" s="219" t="str">
        <f>IFERROR(VLOOKUP(AR11,'ATP - RSAs'!$E:$E,1,FALSE),"#N/A")</f>
        <v>2 or 3</v>
      </c>
      <c r="AT11" s="219" t="str">
        <f t="shared" si="7"/>
        <v>Unbranded Treatment Unbranded DLBCL Therapy DLBCL Infusion Therapy 2 or 3</v>
      </c>
      <c r="AU11" s="219" t="str">
        <f>VLOOKUP(AT11,'ATP - RSAs'!$N:$N,1,FALSE)</f>
        <v>Unbranded Treatment Unbranded DLBCL Therapy DLBCL Infusion Therapy 2 or 3</v>
      </c>
      <c r="AV11" s="218" t="s">
        <v>57</v>
      </c>
      <c r="AW11" s="218" t="str">
        <f>IFERROR(VLOOKUP(AV11,'ATP - RSAs'!$C:$C,1,FALSE),"#N/A")</f>
        <v>Clinical Trial Results</v>
      </c>
      <c r="AX11" s="219" t="s">
        <v>51</v>
      </c>
      <c r="AY11" s="219" t="str">
        <f>IFERROR(VLOOKUP(AX11,'ATP - RSAs'!$E:$E,1,FALSE),"#N/A")</f>
        <v>2 or 3</v>
      </c>
      <c r="AZ11" s="219" t="str">
        <f t="shared" si="8"/>
        <v>Unbranded Treatment Unbranded DLBCL Therapy Clinical Trial Results 2 or 3</v>
      </c>
      <c r="BA11" s="219" t="str">
        <f>VLOOKUP(AZ11,'ATP - RSAs'!$N:$N,1,FALSE)</f>
        <v>Unbranded Treatment Unbranded DLBCL Therapy Clinical Trial Results 2 or 3</v>
      </c>
      <c r="BB11" s="218" t="s">
        <v>58</v>
      </c>
      <c r="BC11" s="218" t="str">
        <f>IFERROR(VLOOKUP(BB11,'ATP - RSAs'!$C:$C,1,FALSE),"#N/A")</f>
        <v>Information For Patients</v>
      </c>
      <c r="BD11" s="219" t="s">
        <v>51</v>
      </c>
      <c r="BE11" s="219" t="str">
        <f>IFERROR(VLOOKUP(BD11,'ATP - RSAs'!$E:$E,1,FALSE),"#N/A")</f>
        <v>2 or 3</v>
      </c>
      <c r="BF11" s="219" t="str">
        <f t="shared" si="9"/>
        <v>Unbranded Treatment Unbranded DLBCL Therapy Information For Patients 2 or 3</v>
      </c>
      <c r="BG11" s="219" t="str">
        <f>VLOOKUP(BF11,'ATP - RSAs'!$N:$N,1,FALSE)</f>
        <v>Unbranded Treatment Unbranded DLBCL Therapy Information For Patients 2 or 3</v>
      </c>
      <c r="BH11" s="218" t="s">
        <v>59</v>
      </c>
      <c r="BI11" s="218" t="str">
        <f>IFERROR(VLOOKUP(BH11,'ATP - RSAs'!$C:$C,1,FALSE),"#N/A")</f>
        <v>Efficacy &amp; Safety Information</v>
      </c>
      <c r="BJ11" s="219" t="s">
        <v>51</v>
      </c>
      <c r="BK11" s="219" t="str">
        <f>IFERROR(VLOOKUP(BJ11,'ATP - RSAs'!$E:$E,1,FALSE),"#N/A")</f>
        <v>2 or 3</v>
      </c>
      <c r="BL11" s="219" t="str">
        <f t="shared" si="10"/>
        <v>Unbranded Treatment Unbranded DLBCL Therapy Efficacy &amp; Safety Information 2 or 3</v>
      </c>
      <c r="BM11" s="219" t="str">
        <f>VLOOKUP(BL11,'ATP - RSAs'!$N:$N,1,FALSE)</f>
        <v>Unbranded Treatment Unbranded DLBCL Therapy Efficacy &amp; Safety Information 2 or 3</v>
      </c>
      <c r="BN11" s="218" t="s">
        <v>105</v>
      </c>
      <c r="BO11" s="218" t="str">
        <f>IFERROR(VLOOKUP(BN11,'ATP - RSAs'!$C:$C,1,FALSE),"#N/A")</f>
        <v>DLBCL Intravenous Infusion</v>
      </c>
      <c r="BP11" s="219" t="s">
        <v>51</v>
      </c>
      <c r="BQ11" s="219" t="str">
        <f>IFERROR(VLOOKUP(BP11,'ATP - RSAs'!$E:$E,1,FALSE),"#N/A")</f>
        <v>2 or 3</v>
      </c>
      <c r="BR11" s="219" t="str">
        <f t="shared" si="11"/>
        <v>Unbranded Treatment Unbranded DLBCL Therapy DLBCL Intravenous Infusion 2 or 3</v>
      </c>
      <c r="BS11" s="219" t="str">
        <f>VLOOKUP(BR11,'ATP - RSAs'!$N:$N,1,FALSE)</f>
        <v>Unbranded Treatment Unbranded DLBCL Therapy DLBCL Intravenous Infusion 2 or 3</v>
      </c>
      <c r="BT11" s="218" t="s">
        <v>99</v>
      </c>
      <c r="BU11" s="218" t="str">
        <f>IFERROR(VLOOKUP(BT11,'ATP - RSAs'!$C:$C,1,FALSE),"#N/A")</f>
        <v>DLBCL Symptoms</v>
      </c>
      <c r="BV11" s="219" t="s">
        <v>51</v>
      </c>
      <c r="BW11" s="219" t="str">
        <f>IFERROR(VLOOKUP(BV11,'ATP - RSAs'!$E:$E,1,FALSE),"#N/A")</f>
        <v>2 or 3</v>
      </c>
      <c r="BX11" s="219" t="str">
        <f t="shared" si="12"/>
        <v>Unbranded Treatment Unbranded DLBCL Therapy DLBCL Symptoms 2 or 3</v>
      </c>
      <c r="BY11" s="219" t="str">
        <f>VLOOKUP(BX11,'ATP - RSAs'!$N:$N,1,FALSE)</f>
        <v>Unbranded Treatment Unbranded DLBCL Therapy DLBCL Symptoms 2 or 3</v>
      </c>
      <c r="BZ11" s="218" t="s">
        <v>111</v>
      </c>
      <c r="CA11" s="218" t="str">
        <f>IFERROR(VLOOKUP(BZ11,'ATP - RSAs'!$C:$C,1,FALSE),"#N/A")</f>
        <v>3L+ DLBCL Therapy Option</v>
      </c>
      <c r="CB11" s="219" t="s">
        <v>51</v>
      </c>
      <c r="CC11" s="219" t="str">
        <f>IFERROR(VLOOKUP(CB11,'ATP - RSAs'!$E:$E,1,FALSE),"#N/A")</f>
        <v>2 or 3</v>
      </c>
      <c r="CD11" s="219" t="str">
        <f t="shared" si="13"/>
        <v>Unbranded Treatment Unbranded DLBCL Therapy 3L+ DLBCL Therapy Option 2 or 3</v>
      </c>
      <c r="CE11" s="219" t="str">
        <f>VLOOKUP(CD11,'ATP - RSAs'!$N:$N,1,FALSE)</f>
        <v>Unbranded Treatment Unbranded DLBCL Therapy 3L+ DLBCL Therapy Option 2 or 3</v>
      </c>
      <c r="CF11" s="218" t="s">
        <v>63</v>
      </c>
      <c r="CG11" s="218" t="str">
        <f>IFERROR(VLOOKUP(CF11,'ATP - RSAs'!$F:$F,1,FALSE),"#N/A")</f>
        <v>Discover A Fixed-Duration Treatment Option For 3L+ DLBCL And View Important Safety Info.</v>
      </c>
      <c r="CH11" s="219" t="s">
        <v>64</v>
      </c>
      <c r="CI11" s="219" t="str">
        <f>IFERROR(VLOOKUP(CH11,'ATP - RSAs'!$H:$H,1,FALSE),"#N/A")</f>
        <v>Any</v>
      </c>
      <c r="CJ11" s="219" t="str">
        <f t="shared" si="14"/>
        <v>Discover A Fixed-Duration Treatment Option For 3L+ DLBCL And View Important Safety Info. Any</v>
      </c>
      <c r="CK11" s="219" t="str">
        <f>VLOOKUP(CJ11,'ATP - RSAs'!$O:$O,1,FALSE)</f>
        <v>Discover A Fixed-Duration Treatment Option For 3L+ DLBCL And View Important Safety Info. Any</v>
      </c>
      <c r="CL11" s="218" t="s">
        <v>65</v>
      </c>
      <c r="CM11" s="218" t="str">
        <f>IFERROR(VLOOKUP(CL11,'ATP - RSAs'!$F:$F,1,FALSE),"#N/A")</f>
        <v>Download The Patient Brochure To Learn More About A DLBCL Fixed-Duration Treatment.</v>
      </c>
      <c r="CN11" s="219" t="s">
        <v>64</v>
      </c>
      <c r="CO11" s="219" t="str">
        <f>IFERROR(VLOOKUP(CN11,'ATP - RSAs'!$H:$H,1,FALSE),"#N/A")</f>
        <v>Any</v>
      </c>
      <c r="CP11" s="219" t="str">
        <f t="shared" si="15"/>
        <v>Download The Patient Brochure To Learn More About A DLBCL Fixed-Duration Treatment. Any</v>
      </c>
      <c r="CQ11" s="219" t="str">
        <f>VLOOKUP(CP11,'ATP - RSAs'!$O:$O,1,FALSE)</f>
        <v>Download The Patient Brochure To Learn More About A DLBCL Fixed-Duration Treatment. Any</v>
      </c>
      <c r="CR11" s="218" t="s">
        <v>66</v>
      </c>
      <c r="CS11" s="218" t="str">
        <f>IFERROR(VLOOKUP(CR11,'ATP - RSAs'!$F:$F,1,FALSE),"#N/A")</f>
        <v>Explore An Infusion Option For Diffuse Large B Cell Lymphoma &amp; View Clinical Results.</v>
      </c>
      <c r="CT11" s="219" t="s">
        <v>64</v>
      </c>
      <c r="CU11" s="219" t="str">
        <f>IFERROR(VLOOKUP(CT11,'ATP - RSAs'!$H:$H,1,FALSE),"#N/A")</f>
        <v>Any</v>
      </c>
      <c r="CV11" s="219" t="str">
        <f t="shared" si="16"/>
        <v>Explore An Infusion Option For Diffuse Large B Cell Lymphoma &amp; View Clinical Results. Any</v>
      </c>
      <c r="CW11" s="219" t="str">
        <f>VLOOKUP(CV11,'ATP - RSAs'!$O:$O,1,FALSE)</f>
        <v>Explore An Infusion Option For Diffuse Large B Cell Lymphoma &amp; View Clinical Results. Any</v>
      </c>
      <c r="CX11" s="218" t="s">
        <v>74</v>
      </c>
      <c r="CY11" s="218" t="str">
        <f>IFERROR(VLOOKUP(CX11,'ATP - RSAs'!$F:$F,1,FALSE),"#N/A")</f>
        <v>Learn More About Starting Treatment For 3L+ DLBCL After Two Or More Prior Therapies.</v>
      </c>
      <c r="CZ11" s="219" t="s">
        <v>64</v>
      </c>
      <c r="DA11" s="219" t="str">
        <f>IFERROR(VLOOKUP(CZ11,'ATP - RSAs'!$H:$H,1,FALSE),"#N/A")</f>
        <v>Any</v>
      </c>
      <c r="DB11" s="219" t="str">
        <f t="shared" si="17"/>
        <v>Learn More About Starting Treatment For 3L+ DLBCL After Two Or More Prior Therapies. Any</v>
      </c>
      <c r="DC11" s="219" t="str">
        <f>VLOOKUP(DB11,'ATP - RSAs'!$O:$O,1,FALSE)</f>
        <v>Learn More About Starting Treatment For 3L+ DLBCL After Two Or More Prior Therapies. Any</v>
      </c>
      <c r="DD11" s="218" t="s">
        <v>68</v>
      </c>
      <c r="DE11" s="2" t="s">
        <v>107</v>
      </c>
    </row>
    <row r="12" spans="1:109" ht="14.4" x14ac:dyDescent="0.3">
      <c r="A12" s="4" t="s">
        <v>92</v>
      </c>
      <c r="B12" s="4" t="str">
        <f>IFERROR(VLOOKUP(A12,'ATP - RSAs'!$A:$A,1,FALSE),"#N/A")</f>
        <v>Unbranded Treatment</v>
      </c>
      <c r="C12" s="218" t="s">
        <v>113</v>
      </c>
      <c r="D12" s="218" t="str">
        <f>IFERROR(VLOOKUP(C12,'ATP - RSAs'!$B:$B,1,FALSE),"#N/A")</f>
        <v>Unbranded DLBCL Dosing</v>
      </c>
      <c r="E12" s="218" t="str">
        <f t="shared" si="0"/>
        <v>Unbranded Treatment Unbranded DLBCL Dosing</v>
      </c>
      <c r="F12" s="218" t="s">
        <v>110</v>
      </c>
      <c r="G12" s="218" t="str">
        <f>IFERROR(VLOOKUP(F12,'ATP - RSAs'!$C:$C,1,FALSE),"#N/A")</f>
        <v>Therapy Option For 3L+ DLBCL</v>
      </c>
      <c r="H12" s="219">
        <v>1</v>
      </c>
      <c r="I12" s="219">
        <f>IFERROR(VLOOKUP(H12,'ATP - RSAs'!$E:$E,1,FALSE),"#N/A")</f>
        <v>1</v>
      </c>
      <c r="J12" s="219" t="str">
        <f t="shared" si="1"/>
        <v>Unbranded Treatment Unbranded DLBCL Dosing Therapy Option For 3L+ DLBCL 1</v>
      </c>
      <c r="K12" s="219" t="str">
        <f>VLOOKUP(J12,'ATP - RSAs'!$N:$N,1,FALSE)</f>
        <v>Unbranded Treatment Unbranded DLBCL Dosing Therapy Option For 3L+ DLBCL 1</v>
      </c>
      <c r="L12" s="218" t="s">
        <v>50</v>
      </c>
      <c r="M12" s="218" t="str">
        <f>IFERROR(VLOOKUP(L12,'ATP - RSAs'!$C:$C,1,FALSE),"#N/A")</f>
        <v>Download The Patient Brochure</v>
      </c>
      <c r="N12" s="219" t="s">
        <v>51</v>
      </c>
      <c r="O12" s="219" t="str">
        <f>IFERROR(VLOOKUP(N12,'ATP - RSAs'!$E:$E,1,FALSE),"#N/A")</f>
        <v>2 or 3</v>
      </c>
      <c r="P12" s="219" t="str">
        <f t="shared" si="2"/>
        <v>Unbranded Treatment Unbranded DLBCL Dosing Download The Patient Brochure 2 or 3</v>
      </c>
      <c r="Q12" s="219" t="str">
        <f>VLOOKUP(P12,'ATP - RSAs'!$N:$N,1,FALSE)</f>
        <v>Unbranded Treatment Unbranded DLBCL Dosing Download The Patient Brochure 2 or 3</v>
      </c>
      <c r="R12" s="218" t="s">
        <v>52</v>
      </c>
      <c r="S12" s="218" t="str">
        <f>IFERROR(VLOOKUP(R12,'ATP - RSAs'!$C:$C,1,FALSE),"#N/A")</f>
        <v>Resources For Patients</v>
      </c>
      <c r="T12" s="219" t="s">
        <v>51</v>
      </c>
      <c r="U12" s="219" t="str">
        <f>IFERROR(VLOOKUP(T12,'ATP - RSAs'!$E:$E,1,FALSE),"#N/A")</f>
        <v>2 or 3</v>
      </c>
      <c r="V12" s="219" t="str">
        <f t="shared" si="3"/>
        <v>Unbranded Treatment Unbranded DLBCL Dosing Resources For Patients 2 or 3</v>
      </c>
      <c r="W12" s="219" t="str">
        <f>VLOOKUP(V12,'ATP - RSAs'!$N:$N,1,FALSE)</f>
        <v>Unbranded Treatment Unbranded DLBCL Dosing Resources For Patients 2 or 3</v>
      </c>
      <c r="X12" s="218" t="s">
        <v>53</v>
      </c>
      <c r="Y12" s="218" t="str">
        <f>IFERROR(VLOOKUP(X12,'ATP - RSAs'!$C:$C,1,FALSE),"#N/A")</f>
        <v>Financial Assistance Options</v>
      </c>
      <c r="Z12" s="219" t="s">
        <v>51</v>
      </c>
      <c r="AA12" s="219" t="str">
        <f>IFERROR(VLOOKUP(Z12,'ATP - RSAs'!$E:$E,1,FALSE),"#N/A")</f>
        <v>2 or 3</v>
      </c>
      <c r="AB12" s="219" t="str">
        <f t="shared" si="4"/>
        <v>Unbranded Treatment Unbranded DLBCL Dosing Financial Assistance Options 2 or 3</v>
      </c>
      <c r="AC12" s="219" t="str">
        <f>VLOOKUP(AB12,'ATP - RSAs'!$N:$N,1,FALSE)</f>
        <v>Unbranded Treatment Unbranded DLBCL Dosing Financial Assistance Options 2 or 3</v>
      </c>
      <c r="AD12" s="218" t="s">
        <v>54</v>
      </c>
      <c r="AE12" s="218" t="str">
        <f>IFERROR(VLOOKUP(AD12,'ATP - RSAs'!$C:$C,1,FALSE),"#N/A")</f>
        <v>Important Safety Information</v>
      </c>
      <c r="AF12" s="219" t="s">
        <v>51</v>
      </c>
      <c r="AG12" s="219" t="str">
        <f>IFERROR(VLOOKUP(AF12,'ATP - RSAs'!$E:$E,1,FALSE),"#N/A")</f>
        <v>2 or 3</v>
      </c>
      <c r="AH12" s="219" t="str">
        <f t="shared" si="5"/>
        <v>Unbranded Treatment Unbranded DLBCL Dosing Important Safety Information 2 or 3</v>
      </c>
      <c r="AI12" s="219" t="str">
        <f>VLOOKUP(AH12,'ATP - RSAs'!$N:$N,1,FALSE)</f>
        <v>Unbranded Treatment Unbranded DLBCL Dosing Important Safety Information 2 or 3</v>
      </c>
      <c r="AJ12" s="218" t="s">
        <v>55</v>
      </c>
      <c r="AK12" s="218" t="str">
        <f>IFERROR(VLOOKUP(AJ12,'ATP - RSAs'!$C:$C,1,FALSE),"#N/A")</f>
        <v>Questions To Ask Your Doctor</v>
      </c>
      <c r="AL12" s="219" t="s">
        <v>51</v>
      </c>
      <c r="AM12" s="219" t="str">
        <f>IFERROR(VLOOKUP(AL12,'ATP - RSAs'!$E:$E,1,FALSE),"#N/A")</f>
        <v>2 or 3</v>
      </c>
      <c r="AN12" s="219" t="str">
        <f t="shared" si="6"/>
        <v>Unbranded Treatment Unbranded DLBCL Dosing Questions To Ask Your Doctor 2 or 3</v>
      </c>
      <c r="AO12" s="219" t="str">
        <f>VLOOKUP(AN12,'ATP - RSAs'!$N:$N,1,FALSE)</f>
        <v>Unbranded Treatment Unbranded DLBCL Dosing Questions To Ask Your Doctor 2 or 3</v>
      </c>
      <c r="AP12" s="218" t="s">
        <v>56</v>
      </c>
      <c r="AQ12" s="218" t="str">
        <f>IFERROR(VLOOKUP(AP12,'ATP - RSAs'!$C:$C,1,FALSE),"#N/A")</f>
        <v>DLBCL Infusion Therapy</v>
      </c>
      <c r="AR12" s="219" t="s">
        <v>51</v>
      </c>
      <c r="AS12" s="219" t="str">
        <f>IFERROR(VLOOKUP(AR12,'ATP - RSAs'!$E:$E,1,FALSE),"#N/A")</f>
        <v>2 or 3</v>
      </c>
      <c r="AT12" s="219" t="str">
        <f t="shared" si="7"/>
        <v>Unbranded Treatment Unbranded DLBCL Dosing DLBCL Infusion Therapy 2 or 3</v>
      </c>
      <c r="AU12" s="219" t="str">
        <f>VLOOKUP(AT12,'ATP - RSAs'!$N:$N,1,FALSE)</f>
        <v>Unbranded Treatment Unbranded DLBCL Dosing DLBCL Infusion Therapy 2 or 3</v>
      </c>
      <c r="AV12" s="218" t="s">
        <v>57</v>
      </c>
      <c r="AW12" s="218" t="str">
        <f>IFERROR(VLOOKUP(AV12,'ATP - RSAs'!$C:$C,1,FALSE),"#N/A")</f>
        <v>Clinical Trial Results</v>
      </c>
      <c r="AX12" s="219" t="s">
        <v>51</v>
      </c>
      <c r="AY12" s="219" t="str">
        <f>IFERROR(VLOOKUP(AX12,'ATP - RSAs'!$E:$E,1,FALSE),"#N/A")</f>
        <v>2 or 3</v>
      </c>
      <c r="AZ12" s="219" t="str">
        <f t="shared" si="8"/>
        <v>Unbranded Treatment Unbranded DLBCL Dosing Clinical Trial Results 2 or 3</v>
      </c>
      <c r="BA12" s="219" t="str">
        <f>VLOOKUP(AZ12,'ATP - RSAs'!$N:$N,1,FALSE)</f>
        <v>Unbranded Treatment Unbranded DLBCL Dosing Clinical Trial Results 2 or 3</v>
      </c>
      <c r="BB12" s="218" t="s">
        <v>58</v>
      </c>
      <c r="BC12" s="218" t="str">
        <f>IFERROR(VLOOKUP(BB12,'ATP - RSAs'!$C:$C,1,FALSE),"#N/A")</f>
        <v>Information For Patients</v>
      </c>
      <c r="BD12" s="219" t="s">
        <v>51</v>
      </c>
      <c r="BE12" s="219" t="str">
        <f>IFERROR(VLOOKUP(BD12,'ATP - RSAs'!$E:$E,1,FALSE),"#N/A")</f>
        <v>2 or 3</v>
      </c>
      <c r="BF12" s="219" t="str">
        <f t="shared" si="9"/>
        <v>Unbranded Treatment Unbranded DLBCL Dosing Information For Patients 2 or 3</v>
      </c>
      <c r="BG12" s="219" t="str">
        <f>VLOOKUP(BF12,'ATP - RSAs'!$N:$N,1,FALSE)</f>
        <v>Unbranded Treatment Unbranded DLBCL Dosing Information For Patients 2 or 3</v>
      </c>
      <c r="BH12" s="218" t="s">
        <v>59</v>
      </c>
      <c r="BI12" s="218" t="str">
        <f>IFERROR(VLOOKUP(BH12,'ATP - RSAs'!$C:$C,1,FALSE),"#N/A")</f>
        <v>Efficacy &amp; Safety Information</v>
      </c>
      <c r="BJ12" s="219" t="s">
        <v>51</v>
      </c>
      <c r="BK12" s="219" t="str">
        <f>IFERROR(VLOOKUP(BJ12,'ATP - RSAs'!$E:$E,1,FALSE),"#N/A")</f>
        <v>2 or 3</v>
      </c>
      <c r="BL12" s="219" t="str">
        <f t="shared" si="10"/>
        <v>Unbranded Treatment Unbranded DLBCL Dosing Efficacy &amp; Safety Information 2 or 3</v>
      </c>
      <c r="BM12" s="219" t="str">
        <f>VLOOKUP(BL12,'ATP - RSAs'!$N:$N,1,FALSE)</f>
        <v>Unbranded Treatment Unbranded DLBCL Dosing Efficacy &amp; Safety Information 2 or 3</v>
      </c>
      <c r="BN12" s="218" t="s">
        <v>105</v>
      </c>
      <c r="BO12" s="218" t="str">
        <f>IFERROR(VLOOKUP(BN12,'ATP - RSAs'!$C:$C,1,FALSE),"#N/A")</f>
        <v>DLBCL Intravenous Infusion</v>
      </c>
      <c r="BP12" s="219" t="s">
        <v>51</v>
      </c>
      <c r="BQ12" s="219" t="str">
        <f>IFERROR(VLOOKUP(BP12,'ATP - RSAs'!$E:$E,1,FALSE),"#N/A")</f>
        <v>2 or 3</v>
      </c>
      <c r="BR12" s="219" t="str">
        <f t="shared" si="11"/>
        <v>Unbranded Treatment Unbranded DLBCL Dosing DLBCL Intravenous Infusion 2 or 3</v>
      </c>
      <c r="BS12" s="219" t="str">
        <f>VLOOKUP(BR12,'ATP - RSAs'!$N:$N,1,FALSE)</f>
        <v>Unbranded Treatment Unbranded DLBCL Dosing DLBCL Intravenous Infusion 2 or 3</v>
      </c>
      <c r="BT12" s="218" t="s">
        <v>99</v>
      </c>
      <c r="BU12" s="218" t="str">
        <f>IFERROR(VLOOKUP(BT12,'ATP - RSAs'!$C:$C,1,FALSE),"#N/A")</f>
        <v>DLBCL Symptoms</v>
      </c>
      <c r="BV12" s="219" t="s">
        <v>51</v>
      </c>
      <c r="BW12" s="219" t="str">
        <f>IFERROR(VLOOKUP(BV12,'ATP - RSAs'!$E:$E,1,FALSE),"#N/A")</f>
        <v>2 or 3</v>
      </c>
      <c r="BX12" s="219" t="str">
        <f t="shared" si="12"/>
        <v>Unbranded Treatment Unbranded DLBCL Dosing DLBCL Symptoms 2 or 3</v>
      </c>
      <c r="BY12" s="219" t="str">
        <f>VLOOKUP(BX12,'ATP - RSAs'!$N:$N,1,FALSE)</f>
        <v>Unbranded Treatment Unbranded DLBCL Dosing DLBCL Symptoms 2 or 3</v>
      </c>
      <c r="BZ12" s="218" t="s">
        <v>111</v>
      </c>
      <c r="CA12" s="218" t="str">
        <f>IFERROR(VLOOKUP(BZ12,'ATP - RSAs'!$C:$C,1,FALSE),"#N/A")</f>
        <v>3L+ DLBCL Therapy Option</v>
      </c>
      <c r="CB12" s="219" t="s">
        <v>51</v>
      </c>
      <c r="CC12" s="219" t="str">
        <f>IFERROR(VLOOKUP(CB12,'ATP - RSAs'!$E:$E,1,FALSE),"#N/A")</f>
        <v>2 or 3</v>
      </c>
      <c r="CD12" s="219" t="str">
        <f t="shared" si="13"/>
        <v>Unbranded Treatment Unbranded DLBCL Dosing 3L+ DLBCL Therapy Option 2 or 3</v>
      </c>
      <c r="CE12" s="219" t="str">
        <f>VLOOKUP(CD12,'ATP - RSAs'!$N:$N,1,FALSE)</f>
        <v>Unbranded Treatment Unbranded DLBCL Dosing 3L+ DLBCL Therapy Option 2 or 3</v>
      </c>
      <c r="CF12" s="218" t="s">
        <v>63</v>
      </c>
      <c r="CG12" s="218" t="str">
        <f>IFERROR(VLOOKUP(CF12,'ATP - RSAs'!$F:$F,1,FALSE),"#N/A")</f>
        <v>Discover A Fixed-Duration Treatment Option For 3L+ DLBCL And View Important Safety Info.</v>
      </c>
      <c r="CH12" s="219" t="s">
        <v>64</v>
      </c>
      <c r="CI12" s="219" t="str">
        <f>IFERROR(VLOOKUP(CH12,'ATP - RSAs'!$H:$H,1,FALSE),"#N/A")</f>
        <v>Any</v>
      </c>
      <c r="CJ12" s="219" t="str">
        <f t="shared" si="14"/>
        <v>Discover A Fixed-Duration Treatment Option For 3L+ DLBCL And View Important Safety Info. Any</v>
      </c>
      <c r="CK12" s="219" t="str">
        <f>VLOOKUP(CJ12,'ATP - RSAs'!$O:$O,1,FALSE)</f>
        <v>Discover A Fixed-Duration Treatment Option For 3L+ DLBCL And View Important Safety Info. Any</v>
      </c>
      <c r="CL12" s="218" t="s">
        <v>65</v>
      </c>
      <c r="CM12" s="218" t="str">
        <f>IFERROR(VLOOKUP(CL12,'ATP - RSAs'!$F:$F,1,FALSE),"#N/A")</f>
        <v>Download The Patient Brochure To Learn More About A DLBCL Fixed-Duration Treatment.</v>
      </c>
      <c r="CN12" s="219" t="s">
        <v>64</v>
      </c>
      <c r="CO12" s="219" t="str">
        <f>IFERROR(VLOOKUP(CN12,'ATP - RSAs'!$H:$H,1,FALSE),"#N/A")</f>
        <v>Any</v>
      </c>
      <c r="CP12" s="219" t="str">
        <f t="shared" si="15"/>
        <v>Download The Patient Brochure To Learn More About A DLBCL Fixed-Duration Treatment. Any</v>
      </c>
      <c r="CQ12" s="219" t="str">
        <f>VLOOKUP(CP12,'ATP - RSAs'!$O:$O,1,FALSE)</f>
        <v>Download The Patient Brochure To Learn More About A DLBCL Fixed-Duration Treatment. Any</v>
      </c>
      <c r="CR12" s="218" t="s">
        <v>66</v>
      </c>
      <c r="CS12" s="218" t="str">
        <f>IFERROR(VLOOKUP(CR12,'ATP - RSAs'!$F:$F,1,FALSE),"#N/A")</f>
        <v>Explore An Infusion Option For Diffuse Large B Cell Lymphoma &amp; View Clinical Results.</v>
      </c>
      <c r="CT12" s="219" t="s">
        <v>64</v>
      </c>
      <c r="CU12" s="219" t="str">
        <f>IFERROR(VLOOKUP(CT12,'ATP - RSAs'!$H:$H,1,FALSE),"#N/A")</f>
        <v>Any</v>
      </c>
      <c r="CV12" s="219" t="str">
        <f t="shared" si="16"/>
        <v>Explore An Infusion Option For Diffuse Large B Cell Lymphoma &amp; View Clinical Results. Any</v>
      </c>
      <c r="CW12" s="219" t="str">
        <f>VLOOKUP(CV12,'ATP - RSAs'!$O:$O,1,FALSE)</f>
        <v>Explore An Infusion Option For Diffuse Large B Cell Lymphoma &amp; View Clinical Results. Any</v>
      </c>
      <c r="CX12" s="218" t="s">
        <v>74</v>
      </c>
      <c r="CY12" s="218" t="str">
        <f>IFERROR(VLOOKUP(CX12,'ATP - RSAs'!$F:$F,1,FALSE),"#N/A")</f>
        <v>Learn More About Starting Treatment For 3L+ DLBCL After Two Or More Prior Therapies.</v>
      </c>
      <c r="CZ12" s="219" t="s">
        <v>64</v>
      </c>
      <c r="DA12" s="219" t="str">
        <f>IFERROR(VLOOKUP(CZ12,'ATP - RSAs'!$H:$H,1,FALSE),"#N/A")</f>
        <v>Any</v>
      </c>
      <c r="DB12" s="219" t="str">
        <f t="shared" si="17"/>
        <v>Learn More About Starting Treatment For 3L+ DLBCL After Two Or More Prior Therapies. Any</v>
      </c>
      <c r="DC12" s="219" t="str">
        <f>VLOOKUP(DB12,'ATP - RSAs'!$O:$O,1,FALSE)</f>
        <v>Learn More About Starting Treatment For 3L+ DLBCL After Two Or More Prior Therapies. Any</v>
      </c>
      <c r="DD12" s="218" t="s">
        <v>68</v>
      </c>
      <c r="DE12" s="2" t="s">
        <v>107</v>
      </c>
    </row>
    <row r="13" spans="1:109" ht="14.4" x14ac:dyDescent="0.3">
      <c r="A13" s="4" t="s">
        <v>46</v>
      </c>
      <c r="B13" s="4" t="str">
        <f>IFERROR(VLOOKUP(A13,'ATP - RSAs'!$A:$A,1,FALSE),"#N/A")</f>
        <v>Unbranded Condition</v>
      </c>
      <c r="C13" s="218" t="s">
        <v>46</v>
      </c>
      <c r="D13" s="218" t="str">
        <f>IFERROR(VLOOKUP(C13,'ATP - RSAs'!$B:$B,1,FALSE),"#N/A")</f>
        <v>Unbranded Condition</v>
      </c>
      <c r="E13" s="218" t="str">
        <f t="shared" si="0"/>
        <v>Unbranded Condition Unbranded Condition</v>
      </c>
      <c r="F13" s="218" t="s">
        <v>527</v>
      </c>
      <c r="G13" s="218" t="str">
        <f>IFERROR(VLOOKUP(F13,'ATP - RSAs'!$C:$C,1,FALSE),"#N/A")</f>
        <v>#N/A</v>
      </c>
      <c r="H13" s="219">
        <v>1</v>
      </c>
      <c r="I13" s="219">
        <f>IFERROR(VLOOKUP(H13,'ATP - RSAs'!$E:$E,1,FALSE),"#N/A")</f>
        <v>1</v>
      </c>
      <c r="J13" s="219" t="str">
        <f t="shared" si="1"/>
        <v>Unbranded Condition Unbranded Condition t 1</v>
      </c>
      <c r="K13" s="219" t="e">
        <f>VLOOKUP(J13,'ATP - RSAs'!$N:$N,1,FALSE)</f>
        <v>#N/A</v>
      </c>
      <c r="L13" s="218" t="s">
        <v>50</v>
      </c>
      <c r="M13" s="218" t="str">
        <f>IFERROR(VLOOKUP(L13,'ATP - RSAs'!$C:$C,1,FALSE),"#N/A")</f>
        <v>Download The Patient Brochure</v>
      </c>
      <c r="N13" s="219" t="s">
        <v>51</v>
      </c>
      <c r="O13" s="219" t="str">
        <f>IFERROR(VLOOKUP(N13,'ATP - RSAs'!$E:$E,1,FALSE),"#N/A")</f>
        <v>2 or 3</v>
      </c>
      <c r="P13" s="219" t="str">
        <f t="shared" si="2"/>
        <v>Unbranded Condition Unbranded Condition Download The Patient Brochure 2 or 3</v>
      </c>
      <c r="Q13" s="219" t="str">
        <f>VLOOKUP(P13,'ATP - RSAs'!$N:$N,1,FALSE)</f>
        <v>Unbranded Condition Unbranded Condition Download The Patient Brochure 2 or 3</v>
      </c>
      <c r="R13" s="218" t="s">
        <v>52</v>
      </c>
      <c r="S13" s="218" t="str">
        <f>IFERROR(VLOOKUP(R13,'ATP - RSAs'!$C:$C,1,FALSE),"#N/A")</f>
        <v>Resources For Patients</v>
      </c>
      <c r="T13" s="219" t="s">
        <v>51</v>
      </c>
      <c r="U13" s="219" t="str">
        <f>IFERROR(VLOOKUP(T13,'ATP - RSAs'!$E:$E,1,FALSE),"#N/A")</f>
        <v>2 or 3</v>
      </c>
      <c r="V13" s="219" t="str">
        <f t="shared" si="3"/>
        <v>Unbranded Condition Unbranded Condition Resources For Patients 2 or 3</v>
      </c>
      <c r="W13" s="219" t="str">
        <f>VLOOKUP(V13,'ATP - RSAs'!$N:$N,1,FALSE)</f>
        <v>Unbranded Condition Unbranded Condition Resources For Patients 2 or 3</v>
      </c>
      <c r="X13" s="218" t="s">
        <v>53</v>
      </c>
      <c r="Y13" s="218" t="str">
        <f>IFERROR(VLOOKUP(X13,'ATP - RSAs'!$C:$C,1,FALSE),"#N/A")</f>
        <v>Financial Assistance Options</v>
      </c>
      <c r="Z13" s="219" t="s">
        <v>51</v>
      </c>
      <c r="AA13" s="219" t="str">
        <f>IFERROR(VLOOKUP(Z13,'ATP - RSAs'!$E:$E,1,FALSE),"#N/A")</f>
        <v>2 or 3</v>
      </c>
      <c r="AB13" s="219" t="str">
        <f t="shared" si="4"/>
        <v>Unbranded Condition Unbranded Condition Financial Assistance Options 2 or 3</v>
      </c>
      <c r="AC13" s="219" t="str">
        <f>VLOOKUP(AB13,'ATP - RSAs'!$N:$N,1,FALSE)</f>
        <v>Unbranded Condition Unbranded Condition Financial Assistance Options 2 or 3</v>
      </c>
      <c r="AD13" s="218" t="s">
        <v>54</v>
      </c>
      <c r="AE13" s="218" t="str">
        <f>IFERROR(VLOOKUP(AD13,'ATP - RSAs'!$C:$C,1,FALSE),"#N/A")</f>
        <v>Important Safety Information</v>
      </c>
      <c r="AF13" s="219" t="s">
        <v>51</v>
      </c>
      <c r="AG13" s="219" t="str">
        <f>IFERROR(VLOOKUP(AF13,'ATP - RSAs'!$E:$E,1,FALSE),"#N/A")</f>
        <v>2 or 3</v>
      </c>
      <c r="AH13" s="219" t="str">
        <f t="shared" si="5"/>
        <v>Unbranded Condition Unbranded Condition Important Safety Information 2 or 3</v>
      </c>
      <c r="AI13" s="219" t="str">
        <f>VLOOKUP(AH13,'ATP - RSAs'!$N:$N,1,FALSE)</f>
        <v>Unbranded Condition Unbranded Condition Important Safety Information 2 or 3</v>
      </c>
      <c r="AJ13" s="218" t="s">
        <v>55</v>
      </c>
      <c r="AK13" s="218" t="str">
        <f>IFERROR(VLOOKUP(AJ13,'ATP - RSAs'!$C:$C,1,FALSE),"#N/A")</f>
        <v>Questions To Ask Your Doctor</v>
      </c>
      <c r="AL13" s="219" t="s">
        <v>51</v>
      </c>
      <c r="AM13" s="219" t="str">
        <f>IFERROR(VLOOKUP(AL13,'ATP - RSAs'!$E:$E,1,FALSE),"#N/A")</f>
        <v>2 or 3</v>
      </c>
      <c r="AN13" s="219" t="str">
        <f t="shared" si="6"/>
        <v>Unbranded Condition Unbranded Condition Questions To Ask Your Doctor 2 or 3</v>
      </c>
      <c r="AO13" s="219" t="str">
        <f>VLOOKUP(AN13,'ATP - RSAs'!$N:$N,1,FALSE)</f>
        <v>Unbranded Condition Unbranded Condition Questions To Ask Your Doctor 2 or 3</v>
      </c>
      <c r="AP13" s="218" t="s">
        <v>56</v>
      </c>
      <c r="AQ13" s="218" t="str">
        <f>IFERROR(VLOOKUP(AP13,'ATP - RSAs'!$C:$C,1,FALSE),"#N/A")</f>
        <v>DLBCL Infusion Therapy</v>
      </c>
      <c r="AR13" s="219" t="s">
        <v>51</v>
      </c>
      <c r="AS13" s="219" t="str">
        <f>IFERROR(VLOOKUP(AR13,'ATP - RSAs'!$E:$E,1,FALSE),"#N/A")</f>
        <v>2 or 3</v>
      </c>
      <c r="AT13" s="219" t="str">
        <f t="shared" si="7"/>
        <v>Unbranded Condition Unbranded Condition DLBCL Infusion Therapy 2 or 3</v>
      </c>
      <c r="AU13" s="219" t="str">
        <f>VLOOKUP(AT13,'ATP - RSAs'!$N:$N,1,FALSE)</f>
        <v>Unbranded Condition Unbranded Condition DLBCL Infusion Therapy 2 or 3</v>
      </c>
      <c r="AV13" s="218" t="s">
        <v>57</v>
      </c>
      <c r="AW13" s="218" t="str">
        <f>IFERROR(VLOOKUP(AV13,'ATP - RSAs'!$C:$C,1,FALSE),"#N/A")</f>
        <v>Clinical Trial Results</v>
      </c>
      <c r="AX13" s="219" t="s">
        <v>51</v>
      </c>
      <c r="AY13" s="219" t="str">
        <f>IFERROR(VLOOKUP(AX13,'ATP - RSAs'!$E:$E,1,FALSE),"#N/A")</f>
        <v>2 or 3</v>
      </c>
      <c r="AZ13" s="219" t="str">
        <f t="shared" si="8"/>
        <v>Unbranded Condition Unbranded Condition Clinical Trial Results 2 or 3</v>
      </c>
      <c r="BA13" s="219" t="str">
        <f>VLOOKUP(AZ13,'ATP - RSAs'!$N:$N,1,FALSE)</f>
        <v>Unbranded Condition Unbranded Condition Clinical Trial Results 2 or 3</v>
      </c>
      <c r="BB13" s="218" t="s">
        <v>58</v>
      </c>
      <c r="BC13" s="218" t="str">
        <f>IFERROR(VLOOKUP(BB13,'ATP - RSAs'!$C:$C,1,FALSE),"#N/A")</f>
        <v>Information For Patients</v>
      </c>
      <c r="BD13" s="219" t="s">
        <v>51</v>
      </c>
      <c r="BE13" s="219" t="str">
        <f>IFERROR(VLOOKUP(BD13,'ATP - RSAs'!$E:$E,1,FALSE),"#N/A")</f>
        <v>2 or 3</v>
      </c>
      <c r="BF13" s="219" t="str">
        <f t="shared" si="9"/>
        <v>Unbranded Condition Unbranded Condition Information For Patients 2 or 3</v>
      </c>
      <c r="BG13" s="219" t="str">
        <f>VLOOKUP(BF13,'ATP - RSAs'!$N:$N,1,FALSE)</f>
        <v>Unbranded Condition Unbranded Condition Information For Patients 2 or 3</v>
      </c>
      <c r="BH13" s="218" t="s">
        <v>59</v>
      </c>
      <c r="BI13" s="218" t="str">
        <f>IFERROR(VLOOKUP(BH13,'ATP - RSAs'!$C:$C,1,FALSE),"#N/A")</f>
        <v>Efficacy &amp; Safety Information</v>
      </c>
      <c r="BJ13" s="219" t="s">
        <v>51</v>
      </c>
      <c r="BK13" s="219" t="str">
        <f>IFERROR(VLOOKUP(BJ13,'ATP - RSAs'!$E:$E,1,FALSE),"#N/A")</f>
        <v>2 or 3</v>
      </c>
      <c r="BL13" s="219" t="str">
        <f t="shared" si="10"/>
        <v>Unbranded Condition Unbranded Condition Efficacy &amp; Safety Information 2 or 3</v>
      </c>
      <c r="BM13" s="219" t="str">
        <f>VLOOKUP(BL13,'ATP - RSAs'!$N:$N,1,FALSE)</f>
        <v>Unbranded Condition Unbranded Condition Efficacy &amp; Safety Information 2 or 3</v>
      </c>
      <c r="BN13" s="218" t="s">
        <v>60</v>
      </c>
      <c r="BO13" s="218" t="str">
        <f>IFERROR(VLOOKUP(BN13,'ATP - RSAs'!$C:$C,1,FALSE),"#N/A")</f>
        <v>About DLBCL</v>
      </c>
      <c r="BP13" s="219" t="s">
        <v>51</v>
      </c>
      <c r="BQ13" s="219" t="str">
        <f>IFERROR(VLOOKUP(BP13,'ATP - RSAs'!$E:$E,1,FALSE),"#N/A")</f>
        <v>2 or 3</v>
      </c>
      <c r="BR13" s="219" t="str">
        <f t="shared" si="11"/>
        <v>Unbranded Condition Unbranded Condition About DLBCL 2 or 3</v>
      </c>
      <c r="BS13" s="219" t="str">
        <f>VLOOKUP(BR13,'ATP - RSAs'!$N:$N,1,FALSE)</f>
        <v>Unbranded Condition Unbranded Condition About DLBCL 2 or 3</v>
      </c>
      <c r="BT13" s="218" t="s">
        <v>61</v>
      </c>
      <c r="BU13" s="218" t="str">
        <f>IFERROR(VLOOKUP(BT13,'ATP - RSAs'!$C:$C,1,FALSE),"#N/A")</f>
        <v>3L+ DLBCL Treatment Support</v>
      </c>
      <c r="BV13" s="219" t="s">
        <v>51</v>
      </c>
      <c r="BW13" s="219" t="str">
        <f>IFERROR(VLOOKUP(BV13,'ATP - RSAs'!$E:$E,1,FALSE),"#N/A")</f>
        <v>2 or 3</v>
      </c>
      <c r="BX13" s="219" t="str">
        <f t="shared" si="12"/>
        <v>Unbranded Condition Unbranded Condition 3L+ DLBCL Treatment Support 2 or 3</v>
      </c>
      <c r="BY13" s="219" t="str">
        <f>VLOOKUP(BX13,'ATP - RSAs'!$N:$N,1,FALSE)</f>
        <v>Unbranded Condition Unbranded Condition 3L+ DLBCL Treatment Support 2 or 3</v>
      </c>
      <c r="BZ13" s="218" t="s">
        <v>62</v>
      </c>
      <c r="CA13" s="218" t="str">
        <f>IFERROR(VLOOKUP(BZ13,'ATP - RSAs'!$C:$C,1,FALSE),"#N/A")</f>
        <v>3L+ DLBCL Patient Resources</v>
      </c>
      <c r="CB13" s="219" t="s">
        <v>51</v>
      </c>
      <c r="CC13" s="219" t="str">
        <f>IFERROR(VLOOKUP(CB13,'ATP - RSAs'!$E:$E,1,FALSE),"#N/A")</f>
        <v>2 or 3</v>
      </c>
      <c r="CD13" s="219" t="str">
        <f t="shared" si="13"/>
        <v>Unbranded Condition Unbranded Condition 3L+ DLBCL Patient Resources 2 or 3</v>
      </c>
      <c r="CE13" s="219" t="str">
        <f>VLOOKUP(CD13,'ATP - RSAs'!$N:$N,1,FALSE)</f>
        <v>Unbranded Condition Unbranded Condition 3L+ DLBCL Patient Resources 2 or 3</v>
      </c>
      <c r="CF13" s="218" t="s">
        <v>63</v>
      </c>
      <c r="CG13" s="218" t="str">
        <f>IFERROR(VLOOKUP(CF13,'ATP - RSAs'!$F:$F,1,FALSE),"#N/A")</f>
        <v>Discover A Fixed-Duration Treatment Option For 3L+ DLBCL And View Important Safety Info.</v>
      </c>
      <c r="CH13" s="219" t="s">
        <v>64</v>
      </c>
      <c r="CI13" s="219" t="str">
        <f>IFERROR(VLOOKUP(CH13,'ATP - RSAs'!$H:$H,1,FALSE),"#N/A")</f>
        <v>Any</v>
      </c>
      <c r="CJ13" s="219" t="str">
        <f t="shared" si="14"/>
        <v>Discover A Fixed-Duration Treatment Option For 3L+ DLBCL And View Important Safety Info. Any</v>
      </c>
      <c r="CK13" s="219" t="str">
        <f>VLOOKUP(CJ13,'ATP - RSAs'!$O:$O,1,FALSE)</f>
        <v>Discover A Fixed-Duration Treatment Option For 3L+ DLBCL And View Important Safety Info. Any</v>
      </c>
      <c r="CL13" s="218" t="s">
        <v>65</v>
      </c>
      <c r="CM13" s="218" t="str">
        <f>IFERROR(VLOOKUP(CL13,'ATP - RSAs'!$F:$F,1,FALSE),"#N/A")</f>
        <v>Download The Patient Brochure To Learn More About A DLBCL Fixed-Duration Treatment.</v>
      </c>
      <c r="CN13" s="219" t="s">
        <v>64</v>
      </c>
      <c r="CO13" s="219" t="str">
        <f>IFERROR(VLOOKUP(CN13,'ATP - RSAs'!$H:$H,1,FALSE),"#N/A")</f>
        <v>Any</v>
      </c>
      <c r="CP13" s="219" t="str">
        <f t="shared" si="15"/>
        <v>Download The Patient Brochure To Learn More About A DLBCL Fixed-Duration Treatment. Any</v>
      </c>
      <c r="CQ13" s="219" t="str">
        <f>VLOOKUP(CP13,'ATP - RSAs'!$O:$O,1,FALSE)</f>
        <v>Download The Patient Brochure To Learn More About A DLBCL Fixed-Duration Treatment. Any</v>
      </c>
      <c r="CR13" s="218" t="s">
        <v>66</v>
      </c>
      <c r="CS13" s="218" t="str">
        <f>IFERROR(VLOOKUP(CR13,'ATP - RSAs'!$F:$F,1,FALSE),"#N/A")</f>
        <v>Explore An Infusion Option For Diffuse Large B Cell Lymphoma &amp; View Clinical Results.</v>
      </c>
      <c r="CT13" s="219" t="s">
        <v>64</v>
      </c>
      <c r="CU13" s="219" t="str">
        <f>IFERROR(VLOOKUP(CT13,'ATP - RSAs'!$H:$H,1,FALSE),"#N/A")</f>
        <v>Any</v>
      </c>
      <c r="CV13" s="219" t="str">
        <f t="shared" si="16"/>
        <v>Explore An Infusion Option For Diffuse Large B Cell Lymphoma &amp; View Clinical Results. Any</v>
      </c>
      <c r="CW13" s="219" t="str">
        <f>VLOOKUP(CV13,'ATP - RSAs'!$O:$O,1,FALSE)</f>
        <v>Explore An Infusion Option For Diffuse Large B Cell Lymphoma &amp; View Clinical Results. Any</v>
      </c>
      <c r="CX13" s="218" t="s">
        <v>67</v>
      </c>
      <c r="CY13" s="218" t="str">
        <f>IFERROR(VLOOKUP(CX13,'ATP - RSAs'!$F:$F,1,FALSE),"#N/A")</f>
        <v>Learn More About Starting Treatment For 3L+ DLBCL After Two Or More Prior Therapies</v>
      </c>
      <c r="CZ13" s="219" t="s">
        <v>64</v>
      </c>
      <c r="DA13" s="219" t="str">
        <f>IFERROR(VLOOKUP(CZ13,'ATP - RSAs'!$H:$H,1,FALSE),"#N/A")</f>
        <v>Any</v>
      </c>
      <c r="DB13" s="219" t="str">
        <f t="shared" si="17"/>
        <v>Learn More About Starting Treatment For 3L+ DLBCL After Two Or More Prior Therapies Any</v>
      </c>
      <c r="DC13" s="219" t="str">
        <f>VLOOKUP(DB13,'ATP - RSAs'!$O:$O,1,FALSE)</f>
        <v>Learn More About Starting Treatment For 3L+ DLBCL After Two Or More Prior Therapies Any</v>
      </c>
      <c r="DD13" s="218" t="s">
        <v>68</v>
      </c>
      <c r="DE13" s="2" t="s">
        <v>69</v>
      </c>
    </row>
    <row r="14" spans="1:109" ht="14.4" x14ac:dyDescent="0.3">
      <c r="A14" s="4" t="s">
        <v>46</v>
      </c>
      <c r="B14" s="4" t="str">
        <f>IFERROR(VLOOKUP(A14,'ATP - RSAs'!$A:$A,1,FALSE),"#N/A")</f>
        <v>Unbranded Condition</v>
      </c>
      <c r="C14" s="218" t="s">
        <v>71</v>
      </c>
      <c r="D14" s="218" t="str">
        <f>IFERROR(VLOOKUP(C14,'ATP - RSAs'!$B:$B,1,FALSE),"#N/A")</f>
        <v>Unbranded DLBCL Causes</v>
      </c>
      <c r="E14" s="218" t="str">
        <f t="shared" si="0"/>
        <v>Unbranded Condition Unbranded DLBCL Causes</v>
      </c>
      <c r="F14" s="218" t="s">
        <v>49</v>
      </c>
      <c r="G14" s="218" t="str">
        <f>IFERROR(VLOOKUP(F14,'ATP - RSAs'!$C:$C,1,FALSE),"#N/A")</f>
        <v>Treatment Option For 3L+ DLBCL</v>
      </c>
      <c r="H14" s="219">
        <v>6</v>
      </c>
      <c r="I14" s="219" t="str">
        <f>IFERROR(VLOOKUP(H14,'ATP - RSAs'!$E:$E,1,FALSE),"#N/A")</f>
        <v>#N/A</v>
      </c>
      <c r="J14" s="219" t="str">
        <f t="shared" si="1"/>
        <v>Unbranded Condition Unbranded DLBCL Causes Treatment Option For 3L+ DLBCL 6</v>
      </c>
      <c r="K14" s="219" t="e">
        <f>VLOOKUP(J14,'ATP - RSAs'!$N:$N,1,FALSE)</f>
        <v>#N/A</v>
      </c>
      <c r="L14" s="218" t="s">
        <v>50</v>
      </c>
      <c r="M14" s="218" t="str">
        <f>IFERROR(VLOOKUP(L14,'ATP - RSAs'!$C:$C,1,FALSE),"#N/A")</f>
        <v>Download The Patient Brochure</v>
      </c>
      <c r="N14" s="219" t="s">
        <v>51</v>
      </c>
      <c r="O14" s="219" t="str">
        <f>IFERROR(VLOOKUP(N14,'ATP - RSAs'!$E:$E,1,FALSE),"#N/A")</f>
        <v>2 or 3</v>
      </c>
      <c r="P14" s="219" t="str">
        <f t="shared" si="2"/>
        <v>Unbranded Condition Unbranded DLBCL Causes Download The Patient Brochure 2 or 3</v>
      </c>
      <c r="Q14" s="219" t="str">
        <f>VLOOKUP(P14,'ATP - RSAs'!$N:$N,1,FALSE)</f>
        <v>Unbranded Condition Unbranded DLBCL Causes Download The Patient Brochure 2 or 3</v>
      </c>
      <c r="R14" s="218" t="s">
        <v>52</v>
      </c>
      <c r="S14" s="218" t="str">
        <f>IFERROR(VLOOKUP(R14,'ATP - RSAs'!$C:$C,1,FALSE),"#N/A")</f>
        <v>Resources For Patients</v>
      </c>
      <c r="T14" s="219" t="s">
        <v>51</v>
      </c>
      <c r="U14" s="219" t="str">
        <f>IFERROR(VLOOKUP(T14,'ATP - RSAs'!$E:$E,1,FALSE),"#N/A")</f>
        <v>2 or 3</v>
      </c>
      <c r="V14" s="219" t="str">
        <f t="shared" si="3"/>
        <v>Unbranded Condition Unbranded DLBCL Causes Resources For Patients 2 or 3</v>
      </c>
      <c r="W14" s="219" t="str">
        <f>VLOOKUP(V14,'ATP - RSAs'!$N:$N,1,FALSE)</f>
        <v>Unbranded Condition Unbranded DLBCL Causes Resources For Patients 2 or 3</v>
      </c>
      <c r="X14" s="218" t="s">
        <v>53</v>
      </c>
      <c r="Y14" s="218" t="str">
        <f>IFERROR(VLOOKUP(X14,'ATP - RSAs'!$C:$C,1,FALSE),"#N/A")</f>
        <v>Financial Assistance Options</v>
      </c>
      <c r="Z14" s="219" t="s">
        <v>51</v>
      </c>
      <c r="AA14" s="219" t="str">
        <f>IFERROR(VLOOKUP(Z14,'ATP - RSAs'!$E:$E,1,FALSE),"#N/A")</f>
        <v>2 or 3</v>
      </c>
      <c r="AB14" s="219" t="str">
        <f t="shared" si="4"/>
        <v>Unbranded Condition Unbranded DLBCL Causes Financial Assistance Options 2 or 3</v>
      </c>
      <c r="AC14" s="219" t="str">
        <f>VLOOKUP(AB14,'ATP - RSAs'!$N:$N,1,FALSE)</f>
        <v>Unbranded Condition Unbranded DLBCL Causes Financial Assistance Options 2 or 3</v>
      </c>
      <c r="AD14" s="218" t="s">
        <v>54</v>
      </c>
      <c r="AE14" s="218" t="str">
        <f>IFERROR(VLOOKUP(AD14,'ATP - RSAs'!$C:$C,1,FALSE),"#N/A")</f>
        <v>Important Safety Information</v>
      </c>
      <c r="AF14" s="219" t="s">
        <v>51</v>
      </c>
      <c r="AG14" s="219" t="str">
        <f>IFERROR(VLOOKUP(AF14,'ATP - RSAs'!$E:$E,1,FALSE),"#N/A")</f>
        <v>2 or 3</v>
      </c>
      <c r="AH14" s="219" t="str">
        <f t="shared" si="5"/>
        <v>Unbranded Condition Unbranded DLBCL Causes Important Safety Information 2 or 3</v>
      </c>
      <c r="AI14" s="219" t="str">
        <f>VLOOKUP(AH14,'ATP - RSAs'!$N:$N,1,FALSE)</f>
        <v>Unbranded Condition Unbranded DLBCL Causes Important Safety Information 2 or 3</v>
      </c>
      <c r="AJ14" s="218" t="s">
        <v>55</v>
      </c>
      <c r="AK14" s="218" t="str">
        <f>IFERROR(VLOOKUP(AJ14,'ATP - RSAs'!$C:$C,1,FALSE),"#N/A")</f>
        <v>Questions To Ask Your Doctor</v>
      </c>
      <c r="AL14" s="219" t="s">
        <v>51</v>
      </c>
      <c r="AM14" s="219" t="str">
        <f>IFERROR(VLOOKUP(AL14,'ATP - RSAs'!$E:$E,1,FALSE),"#N/A")</f>
        <v>2 or 3</v>
      </c>
      <c r="AN14" s="219" t="str">
        <f t="shared" si="6"/>
        <v>Unbranded Condition Unbranded DLBCL Causes Questions To Ask Your Doctor 2 or 3</v>
      </c>
      <c r="AO14" s="219" t="str">
        <f>VLOOKUP(AN14,'ATP - RSAs'!$N:$N,1,FALSE)</f>
        <v>Unbranded Condition Unbranded DLBCL Causes Questions To Ask Your Doctor 2 or 3</v>
      </c>
      <c r="AP14" s="218" t="s">
        <v>56</v>
      </c>
      <c r="AQ14" s="218" t="str">
        <f>IFERROR(VLOOKUP(AP14,'ATP - RSAs'!$C:$C,1,FALSE),"#N/A")</f>
        <v>DLBCL Infusion Therapy</v>
      </c>
      <c r="AR14" s="219" t="s">
        <v>51</v>
      </c>
      <c r="AS14" s="219" t="str">
        <f>IFERROR(VLOOKUP(AR14,'ATP - RSAs'!$E:$E,1,FALSE),"#N/A")</f>
        <v>2 or 3</v>
      </c>
      <c r="AT14" s="219" t="str">
        <f t="shared" si="7"/>
        <v>Unbranded Condition Unbranded DLBCL Causes DLBCL Infusion Therapy 2 or 3</v>
      </c>
      <c r="AU14" s="219" t="str">
        <f>VLOOKUP(AT14,'ATP - RSAs'!$N:$N,1,FALSE)</f>
        <v>Unbranded Condition Unbranded DLBCL Causes DLBCL Infusion Therapy 2 or 3</v>
      </c>
      <c r="AV14" s="218" t="s">
        <v>57</v>
      </c>
      <c r="AW14" s="218" t="str">
        <f>IFERROR(VLOOKUP(AV14,'ATP - RSAs'!$C:$C,1,FALSE),"#N/A")</f>
        <v>Clinical Trial Results</v>
      </c>
      <c r="AX14" s="219" t="s">
        <v>51</v>
      </c>
      <c r="AY14" s="219" t="str">
        <f>IFERROR(VLOOKUP(AX14,'ATP - RSAs'!$E:$E,1,FALSE),"#N/A")</f>
        <v>2 or 3</v>
      </c>
      <c r="AZ14" s="219" t="str">
        <f t="shared" si="8"/>
        <v>Unbranded Condition Unbranded DLBCL Causes Clinical Trial Results 2 or 3</v>
      </c>
      <c r="BA14" s="219" t="str">
        <f>VLOOKUP(AZ14,'ATP - RSAs'!$N:$N,1,FALSE)</f>
        <v>Unbranded Condition Unbranded DLBCL Causes Clinical Trial Results 2 or 3</v>
      </c>
      <c r="BB14" s="218" t="s">
        <v>58</v>
      </c>
      <c r="BC14" s="218" t="str">
        <f>IFERROR(VLOOKUP(BB14,'ATP - RSAs'!$C:$C,1,FALSE),"#N/A")</f>
        <v>Information For Patients</v>
      </c>
      <c r="BD14" s="219" t="s">
        <v>51</v>
      </c>
      <c r="BE14" s="219" t="str">
        <f>IFERROR(VLOOKUP(BD14,'ATP - RSAs'!$E:$E,1,FALSE),"#N/A")</f>
        <v>2 or 3</v>
      </c>
      <c r="BF14" s="219" t="str">
        <f t="shared" si="9"/>
        <v>Unbranded Condition Unbranded DLBCL Causes Information For Patients 2 or 3</v>
      </c>
      <c r="BG14" s="219" t="str">
        <f>VLOOKUP(BF14,'ATP - RSAs'!$N:$N,1,FALSE)</f>
        <v>Unbranded Condition Unbranded DLBCL Causes Information For Patients 2 or 3</v>
      </c>
      <c r="BH14" s="218" t="s">
        <v>59</v>
      </c>
      <c r="BI14" s="218" t="str">
        <f>IFERROR(VLOOKUP(BH14,'ATP - RSAs'!$C:$C,1,FALSE),"#N/A")</f>
        <v>Efficacy &amp; Safety Information</v>
      </c>
      <c r="BJ14" s="219" t="s">
        <v>51</v>
      </c>
      <c r="BK14" s="219" t="str">
        <f>IFERROR(VLOOKUP(BJ14,'ATP - RSAs'!$E:$E,1,FALSE),"#N/A")</f>
        <v>2 or 3</v>
      </c>
      <c r="BL14" s="219" t="str">
        <f t="shared" si="10"/>
        <v>Unbranded Condition Unbranded DLBCL Causes Efficacy &amp; Safety Information 2 or 3</v>
      </c>
      <c r="BM14" s="219" t="str">
        <f>VLOOKUP(BL14,'ATP - RSAs'!$N:$N,1,FALSE)</f>
        <v>Unbranded Condition Unbranded DLBCL Causes Efficacy &amp; Safety Information 2 or 3</v>
      </c>
      <c r="BN14" s="218" t="s">
        <v>72</v>
      </c>
      <c r="BO14" s="218" t="str">
        <f>IFERROR(VLOOKUP(BN14,'ATP - RSAs'!$C:$C,1,FALSE),"#N/A")</f>
        <v>Diffuse Large B-Cell Lymphoma</v>
      </c>
      <c r="BP14" s="219" t="s">
        <v>51</v>
      </c>
      <c r="BQ14" s="219" t="str">
        <f>IFERROR(VLOOKUP(BP14,'ATP - RSAs'!$E:$E,1,FALSE),"#N/A")</f>
        <v>2 or 3</v>
      </c>
      <c r="BR14" s="219" t="str">
        <f t="shared" si="11"/>
        <v>Unbranded Condition Unbranded DLBCL Causes Diffuse Large B-Cell Lymphoma 2 or 3</v>
      </c>
      <c r="BS14" s="219" t="str">
        <f>VLOOKUP(BR14,'ATP - RSAs'!$N:$N,1,FALSE)</f>
        <v>Unbranded Condition Unbranded DLBCL Causes Diffuse Large B-Cell Lymphoma 2 or 3</v>
      </c>
      <c r="BT14" s="218" t="s">
        <v>73</v>
      </c>
      <c r="BU14" s="218" t="str">
        <f>IFERROR(VLOOKUP(BT14,'ATP - RSAs'!$C:$C,1,FALSE),"#N/A")</f>
        <v>DLBCL Clinical Study Data</v>
      </c>
      <c r="BV14" s="219" t="s">
        <v>51</v>
      </c>
      <c r="BW14" s="219" t="str">
        <f>IFERROR(VLOOKUP(BV14,'ATP - RSAs'!$E:$E,1,FALSE),"#N/A")</f>
        <v>2 or 3</v>
      </c>
      <c r="BX14" s="219" t="str">
        <f t="shared" si="12"/>
        <v>Unbranded Condition Unbranded DLBCL Causes DLBCL Clinical Study Data 2 or 3</v>
      </c>
      <c r="BY14" s="219" t="str">
        <f>VLOOKUP(BX14,'ATP - RSAs'!$N:$N,1,FALSE)</f>
        <v>Unbranded Condition Unbranded DLBCL Causes DLBCL Clinical Study Data 2 or 3</v>
      </c>
      <c r="BZ14" s="218" t="s">
        <v>60</v>
      </c>
      <c r="CA14" s="218" t="str">
        <f>IFERROR(VLOOKUP(BZ14,'ATP - RSAs'!$C:$C,1,FALSE),"#N/A")</f>
        <v>About DLBCL</v>
      </c>
      <c r="CB14" s="219" t="s">
        <v>51</v>
      </c>
      <c r="CC14" s="219" t="str">
        <f>IFERROR(VLOOKUP(CB14,'ATP - RSAs'!$E:$E,1,FALSE),"#N/A")</f>
        <v>2 or 3</v>
      </c>
      <c r="CD14" s="219" t="str">
        <f t="shared" si="13"/>
        <v>Unbranded Condition Unbranded DLBCL Causes About DLBCL 2 or 3</v>
      </c>
      <c r="CE14" s="219" t="str">
        <f>VLOOKUP(CD14,'ATP - RSAs'!$N:$N,1,FALSE)</f>
        <v>Unbranded Condition Unbranded DLBCL Causes About DLBCL 2 or 3</v>
      </c>
      <c r="CF14" s="218" t="s">
        <v>63</v>
      </c>
      <c r="CG14" s="218" t="str">
        <f>IFERROR(VLOOKUP(CF14,'ATP - RSAs'!$F:$F,1,FALSE),"#N/A")</f>
        <v>Discover A Fixed-Duration Treatment Option For 3L+ DLBCL And View Important Safety Info.</v>
      </c>
      <c r="CH14" s="219" t="s">
        <v>64</v>
      </c>
      <c r="CI14" s="219" t="str">
        <f>IFERROR(VLOOKUP(CH14,'ATP - RSAs'!$H:$H,1,FALSE),"#N/A")</f>
        <v>Any</v>
      </c>
      <c r="CJ14" s="219" t="str">
        <f t="shared" si="14"/>
        <v>Discover A Fixed-Duration Treatment Option For 3L+ DLBCL And View Important Safety Info. Any</v>
      </c>
      <c r="CK14" s="219" t="str">
        <f>VLOOKUP(CJ14,'ATP - RSAs'!$O:$O,1,FALSE)</f>
        <v>Discover A Fixed-Duration Treatment Option For 3L+ DLBCL And View Important Safety Info. Any</v>
      </c>
      <c r="CL14" s="218" t="s">
        <v>65</v>
      </c>
      <c r="CM14" s="218" t="str">
        <f>IFERROR(VLOOKUP(CL14,'ATP - RSAs'!$F:$F,1,FALSE),"#N/A")</f>
        <v>Download The Patient Brochure To Learn More About A DLBCL Fixed-Duration Treatment.</v>
      </c>
      <c r="CN14" s="219" t="s">
        <v>64</v>
      </c>
      <c r="CO14" s="219" t="str">
        <f>IFERROR(VLOOKUP(CN14,'ATP - RSAs'!$H:$H,1,FALSE),"#N/A")</f>
        <v>Any</v>
      </c>
      <c r="CP14" s="219" t="str">
        <f t="shared" si="15"/>
        <v>Download The Patient Brochure To Learn More About A DLBCL Fixed-Duration Treatment. Any</v>
      </c>
      <c r="CQ14" s="219" t="str">
        <f>VLOOKUP(CP14,'ATP - RSAs'!$O:$O,1,FALSE)</f>
        <v>Download The Patient Brochure To Learn More About A DLBCL Fixed-Duration Treatment. Any</v>
      </c>
      <c r="CR14" s="218" t="s">
        <v>66</v>
      </c>
      <c r="CS14" s="218" t="str">
        <f>IFERROR(VLOOKUP(CR14,'ATP - RSAs'!$F:$F,1,FALSE),"#N/A")</f>
        <v>Explore An Infusion Option For Diffuse Large B Cell Lymphoma &amp; View Clinical Results.</v>
      </c>
      <c r="CT14" s="219" t="s">
        <v>64</v>
      </c>
      <c r="CU14" s="219" t="str">
        <f>IFERROR(VLOOKUP(CT14,'ATP - RSAs'!$H:$H,1,FALSE),"#N/A")</f>
        <v>Any</v>
      </c>
      <c r="CV14" s="219" t="str">
        <f t="shared" si="16"/>
        <v>Explore An Infusion Option For Diffuse Large B Cell Lymphoma &amp; View Clinical Results. Any</v>
      </c>
      <c r="CW14" s="219" t="str">
        <f>VLOOKUP(CV14,'ATP - RSAs'!$O:$O,1,FALSE)</f>
        <v>Explore An Infusion Option For Diffuse Large B Cell Lymphoma &amp; View Clinical Results. Any</v>
      </c>
      <c r="CX14" s="218" t="s">
        <v>74</v>
      </c>
      <c r="CY14" s="218" t="str">
        <f>IFERROR(VLOOKUP(CX14,'ATP - RSAs'!$F:$F,1,FALSE),"#N/A")</f>
        <v>Learn More About Starting Treatment For 3L+ DLBCL After Two Or More Prior Therapies.</v>
      </c>
      <c r="CZ14" s="219" t="s">
        <v>64</v>
      </c>
      <c r="DA14" s="219" t="str">
        <f>IFERROR(VLOOKUP(CZ14,'ATP - RSAs'!$H:$H,1,FALSE),"#N/A")</f>
        <v>Any</v>
      </c>
      <c r="DB14" s="219" t="str">
        <f t="shared" si="17"/>
        <v>Learn More About Starting Treatment For 3L+ DLBCL After Two Or More Prior Therapies. Any</v>
      </c>
      <c r="DC14" s="219" t="str">
        <f>VLOOKUP(DB14,'ATP - RSAs'!$O:$O,1,FALSE)</f>
        <v>Learn More About Starting Treatment For 3L+ DLBCL After Two Or More Prior Therapies. Any</v>
      </c>
      <c r="DD14" s="218" t="s">
        <v>68</v>
      </c>
      <c r="DE14" s="2" t="s">
        <v>69</v>
      </c>
    </row>
    <row r="15" spans="1:109" ht="14.4" x14ac:dyDescent="0.3">
      <c r="A15" s="4" t="s">
        <v>46</v>
      </c>
      <c r="B15" s="4" t="str">
        <f>IFERROR(VLOOKUP(A15,'ATP - RSAs'!$A:$A,1,FALSE),"#N/A")</f>
        <v>Unbranded Condition</v>
      </c>
      <c r="C15" s="218" t="s">
        <v>76</v>
      </c>
      <c r="D15" s="218" t="str">
        <f>IFERROR(VLOOKUP(C15,'ATP - RSAs'!$B:$B,1,FALSE),"#N/A")</f>
        <v>Unbranded DLBCL Diagnosis</v>
      </c>
      <c r="E15" s="218" t="str">
        <f t="shared" si="0"/>
        <v>Unbranded Condition Unbranded DLBCL Diagnosis</v>
      </c>
      <c r="F15" s="218" t="s">
        <v>49</v>
      </c>
      <c r="G15" s="218" t="str">
        <f>IFERROR(VLOOKUP(F15,'ATP - RSAs'!$C:$C,1,FALSE),"#N/A")</f>
        <v>Treatment Option For 3L+ DLBCL</v>
      </c>
      <c r="H15" s="219">
        <v>1</v>
      </c>
      <c r="I15" s="219">
        <f>IFERROR(VLOOKUP(H15,'ATP - RSAs'!$E:$E,1,FALSE),"#N/A")</f>
        <v>1</v>
      </c>
      <c r="J15" s="219" t="str">
        <f t="shared" si="1"/>
        <v>Unbranded Condition Unbranded DLBCL Diagnosis Treatment Option For 3L+ DLBCL 1</v>
      </c>
      <c r="K15" s="219" t="str">
        <f>VLOOKUP(J15,'ATP - RSAs'!$N:$N,1,FALSE)</f>
        <v>Unbranded Condition Unbranded DLBCL Diagnosis Treatment Option For 3L+ DLBCL 1</v>
      </c>
      <c r="L15" s="218" t="s">
        <v>50</v>
      </c>
      <c r="M15" s="218" t="str">
        <f>IFERROR(VLOOKUP(L15,'ATP - RSAs'!$C:$C,1,FALSE),"#N/A")</f>
        <v>Download The Patient Brochure</v>
      </c>
      <c r="N15" s="219" t="s">
        <v>51</v>
      </c>
      <c r="O15" s="219" t="str">
        <f>IFERROR(VLOOKUP(N15,'ATP - RSAs'!$E:$E,1,FALSE),"#N/A")</f>
        <v>2 or 3</v>
      </c>
      <c r="P15" s="219" t="str">
        <f t="shared" si="2"/>
        <v>Unbranded Condition Unbranded DLBCL Diagnosis Download The Patient Brochure 2 or 3</v>
      </c>
      <c r="Q15" s="219" t="str">
        <f>VLOOKUP(P15,'ATP - RSAs'!$N:$N,1,FALSE)</f>
        <v>Unbranded Condition Unbranded DLBCL Diagnosis Download The Patient Brochure 2 or 3</v>
      </c>
      <c r="R15" s="218" t="s">
        <v>52</v>
      </c>
      <c r="S15" s="218" t="str">
        <f>IFERROR(VLOOKUP(R15,'ATP - RSAs'!$C:$C,1,FALSE),"#N/A")</f>
        <v>Resources For Patients</v>
      </c>
      <c r="T15" s="219" t="s">
        <v>51</v>
      </c>
      <c r="U15" s="219" t="str">
        <f>IFERROR(VLOOKUP(T15,'ATP - RSAs'!$E:$E,1,FALSE),"#N/A")</f>
        <v>2 or 3</v>
      </c>
      <c r="V15" s="219" t="str">
        <f t="shared" si="3"/>
        <v>Unbranded Condition Unbranded DLBCL Diagnosis Resources For Patients 2 or 3</v>
      </c>
      <c r="W15" s="219" t="str">
        <f>VLOOKUP(V15,'ATP - RSAs'!$N:$N,1,FALSE)</f>
        <v>Unbranded Condition Unbranded DLBCL Diagnosis Resources For Patients 2 or 3</v>
      </c>
      <c r="X15" s="218" t="s">
        <v>53</v>
      </c>
      <c r="Y15" s="218" t="str">
        <f>IFERROR(VLOOKUP(X15,'ATP - RSAs'!$C:$C,1,FALSE),"#N/A")</f>
        <v>Financial Assistance Options</v>
      </c>
      <c r="Z15" s="219" t="s">
        <v>51</v>
      </c>
      <c r="AA15" s="219" t="str">
        <f>IFERROR(VLOOKUP(Z15,'ATP - RSAs'!$E:$E,1,FALSE),"#N/A")</f>
        <v>2 or 3</v>
      </c>
      <c r="AB15" s="219" t="str">
        <f t="shared" si="4"/>
        <v>Unbranded Condition Unbranded DLBCL Diagnosis Financial Assistance Options 2 or 3</v>
      </c>
      <c r="AC15" s="219" t="str">
        <f>VLOOKUP(AB15,'ATP - RSAs'!$N:$N,1,FALSE)</f>
        <v>Unbranded Condition Unbranded DLBCL Diagnosis Financial Assistance Options 2 or 3</v>
      </c>
      <c r="AD15" s="218" t="s">
        <v>54</v>
      </c>
      <c r="AE15" s="218" t="str">
        <f>IFERROR(VLOOKUP(AD15,'ATP - RSAs'!$C:$C,1,FALSE),"#N/A")</f>
        <v>Important Safety Information</v>
      </c>
      <c r="AF15" s="219" t="s">
        <v>51</v>
      </c>
      <c r="AG15" s="219" t="str">
        <f>IFERROR(VLOOKUP(AF15,'ATP - RSAs'!$E:$E,1,FALSE),"#N/A")</f>
        <v>2 or 3</v>
      </c>
      <c r="AH15" s="219" t="str">
        <f t="shared" si="5"/>
        <v>Unbranded Condition Unbranded DLBCL Diagnosis Important Safety Information 2 or 3</v>
      </c>
      <c r="AI15" s="219" t="str">
        <f>VLOOKUP(AH15,'ATP - RSAs'!$N:$N,1,FALSE)</f>
        <v>Unbranded Condition Unbranded DLBCL Diagnosis Important Safety Information 2 or 3</v>
      </c>
      <c r="AJ15" s="218" t="s">
        <v>55</v>
      </c>
      <c r="AK15" s="218" t="str">
        <f>IFERROR(VLOOKUP(AJ15,'ATP - RSAs'!$C:$C,1,FALSE),"#N/A")</f>
        <v>Questions To Ask Your Doctor</v>
      </c>
      <c r="AL15" s="219" t="s">
        <v>51</v>
      </c>
      <c r="AM15" s="219" t="str">
        <f>IFERROR(VLOOKUP(AL15,'ATP - RSAs'!$E:$E,1,FALSE),"#N/A")</f>
        <v>2 or 3</v>
      </c>
      <c r="AN15" s="219" t="str">
        <f t="shared" si="6"/>
        <v>Unbranded Condition Unbranded DLBCL Diagnosis Questions To Ask Your Doctor 2 or 3</v>
      </c>
      <c r="AO15" s="219" t="str">
        <f>VLOOKUP(AN15,'ATP - RSAs'!$N:$N,1,FALSE)</f>
        <v>Unbranded Condition Unbranded DLBCL Diagnosis Questions To Ask Your Doctor 2 or 3</v>
      </c>
      <c r="AP15" s="218" t="s">
        <v>56</v>
      </c>
      <c r="AQ15" s="218" t="str">
        <f>IFERROR(VLOOKUP(AP15,'ATP - RSAs'!$C:$C,1,FALSE),"#N/A")</f>
        <v>DLBCL Infusion Therapy</v>
      </c>
      <c r="AR15" s="219" t="s">
        <v>51</v>
      </c>
      <c r="AS15" s="219" t="str">
        <f>IFERROR(VLOOKUP(AR15,'ATP - RSAs'!$E:$E,1,FALSE),"#N/A")</f>
        <v>2 or 3</v>
      </c>
      <c r="AT15" s="219" t="str">
        <f t="shared" si="7"/>
        <v>Unbranded Condition Unbranded DLBCL Diagnosis DLBCL Infusion Therapy 2 or 3</v>
      </c>
      <c r="AU15" s="219" t="str">
        <f>VLOOKUP(AT15,'ATP - RSAs'!$N:$N,1,FALSE)</f>
        <v>Unbranded Condition Unbranded DLBCL Diagnosis DLBCL Infusion Therapy 2 or 3</v>
      </c>
      <c r="AV15" s="218" t="s">
        <v>57</v>
      </c>
      <c r="AW15" s="218" t="str">
        <f>IFERROR(VLOOKUP(AV15,'ATP - RSAs'!$C:$C,1,FALSE),"#N/A")</f>
        <v>Clinical Trial Results</v>
      </c>
      <c r="AX15" s="219" t="s">
        <v>51</v>
      </c>
      <c r="AY15" s="219" t="str">
        <f>IFERROR(VLOOKUP(AX15,'ATP - RSAs'!$E:$E,1,FALSE),"#N/A")</f>
        <v>2 or 3</v>
      </c>
      <c r="AZ15" s="219" t="str">
        <f t="shared" si="8"/>
        <v>Unbranded Condition Unbranded DLBCL Diagnosis Clinical Trial Results 2 or 3</v>
      </c>
      <c r="BA15" s="219" t="str">
        <f>VLOOKUP(AZ15,'ATP - RSAs'!$N:$N,1,FALSE)</f>
        <v>Unbranded Condition Unbranded DLBCL Diagnosis Clinical Trial Results 2 or 3</v>
      </c>
      <c r="BB15" s="218" t="s">
        <v>58</v>
      </c>
      <c r="BC15" s="218" t="str">
        <f>IFERROR(VLOOKUP(BB15,'ATP - RSAs'!$C:$C,1,FALSE),"#N/A")</f>
        <v>Information For Patients</v>
      </c>
      <c r="BD15" s="219" t="s">
        <v>51</v>
      </c>
      <c r="BE15" s="219" t="str">
        <f>IFERROR(VLOOKUP(BD15,'ATP - RSAs'!$E:$E,1,FALSE),"#N/A")</f>
        <v>2 or 3</v>
      </c>
      <c r="BF15" s="219" t="str">
        <f t="shared" si="9"/>
        <v>Unbranded Condition Unbranded DLBCL Diagnosis Information For Patients 2 or 3</v>
      </c>
      <c r="BG15" s="219" t="str">
        <f>VLOOKUP(BF15,'ATP - RSAs'!$N:$N,1,FALSE)</f>
        <v>Unbranded Condition Unbranded DLBCL Diagnosis Information For Patients 2 or 3</v>
      </c>
      <c r="BH15" s="218" t="s">
        <v>59</v>
      </c>
      <c r="BI15" s="218" t="str">
        <f>IFERROR(VLOOKUP(BH15,'ATP - RSAs'!$C:$C,1,FALSE),"#N/A")</f>
        <v>Efficacy &amp; Safety Information</v>
      </c>
      <c r="BJ15" s="219" t="s">
        <v>51</v>
      </c>
      <c r="BK15" s="219" t="str">
        <f>IFERROR(VLOOKUP(BJ15,'ATP - RSAs'!$E:$E,1,FALSE),"#N/A")</f>
        <v>2 or 3</v>
      </c>
      <c r="BL15" s="219" t="str">
        <f t="shared" si="10"/>
        <v>Unbranded Condition Unbranded DLBCL Diagnosis Efficacy &amp; Safety Information 2 or 3</v>
      </c>
      <c r="BM15" s="219" t="str">
        <f>VLOOKUP(BL15,'ATP - RSAs'!$N:$N,1,FALSE)</f>
        <v>Unbranded Condition Unbranded DLBCL Diagnosis Efficacy &amp; Safety Information 2 or 3</v>
      </c>
      <c r="BN15" s="218" t="s">
        <v>72</v>
      </c>
      <c r="BO15" s="218" t="str">
        <f>IFERROR(VLOOKUP(BN15,'ATP - RSAs'!$C:$C,1,FALSE),"#N/A")</f>
        <v>Diffuse Large B-Cell Lymphoma</v>
      </c>
      <c r="BP15" s="219" t="s">
        <v>51</v>
      </c>
      <c r="BQ15" s="219" t="str">
        <f>IFERROR(VLOOKUP(BP15,'ATP - RSAs'!$E:$E,1,FALSE),"#N/A")</f>
        <v>2 or 3</v>
      </c>
      <c r="BR15" s="219" t="str">
        <f t="shared" si="11"/>
        <v>Unbranded Condition Unbranded DLBCL Diagnosis Diffuse Large B-Cell Lymphoma 2 or 3</v>
      </c>
      <c r="BS15" s="219" t="str">
        <f>VLOOKUP(BR15,'ATP - RSAs'!$N:$N,1,FALSE)</f>
        <v>Unbranded Condition Unbranded DLBCL Diagnosis Diffuse Large B-Cell Lymphoma 2 or 3</v>
      </c>
      <c r="BT15" s="218" t="s">
        <v>61</v>
      </c>
      <c r="BU15" s="218" t="str">
        <f>IFERROR(VLOOKUP(BT15,'ATP - RSAs'!$C:$C,1,FALSE),"#N/A")</f>
        <v>3L+ DLBCL Treatment Support</v>
      </c>
      <c r="BV15" s="219" t="s">
        <v>51</v>
      </c>
      <c r="BW15" s="219" t="str">
        <f>IFERROR(VLOOKUP(BV15,'ATP - RSAs'!$E:$E,1,FALSE),"#N/A")</f>
        <v>2 or 3</v>
      </c>
      <c r="BX15" s="219" t="str">
        <f t="shared" si="12"/>
        <v>Unbranded Condition Unbranded DLBCL Diagnosis 3L+ DLBCL Treatment Support 2 or 3</v>
      </c>
      <c r="BY15" s="219" t="str">
        <f>VLOOKUP(BX15,'ATP - RSAs'!$N:$N,1,FALSE)</f>
        <v>Unbranded Condition Unbranded DLBCL Diagnosis 3L+ DLBCL Treatment Support 2 or 3</v>
      </c>
      <c r="BZ15" s="218" t="s">
        <v>62</v>
      </c>
      <c r="CA15" s="218" t="str">
        <f>IFERROR(VLOOKUP(BZ15,'ATP - RSAs'!$C:$C,1,FALSE),"#N/A")</f>
        <v>3L+ DLBCL Patient Resources</v>
      </c>
      <c r="CB15" s="219" t="s">
        <v>51</v>
      </c>
      <c r="CC15" s="219" t="str">
        <f>IFERROR(VLOOKUP(CB15,'ATP - RSAs'!$E:$E,1,FALSE),"#N/A")</f>
        <v>2 or 3</v>
      </c>
      <c r="CD15" s="219" t="str">
        <f t="shared" si="13"/>
        <v>Unbranded Condition Unbranded DLBCL Diagnosis 3L+ DLBCL Patient Resources 2 or 3</v>
      </c>
      <c r="CE15" s="219" t="str">
        <f>VLOOKUP(CD15,'ATP - RSAs'!$N:$N,1,FALSE)</f>
        <v>Unbranded Condition Unbranded DLBCL Diagnosis 3L+ DLBCL Patient Resources 2 or 3</v>
      </c>
      <c r="CF15" s="218" t="s">
        <v>63</v>
      </c>
      <c r="CG15" s="218" t="str">
        <f>IFERROR(VLOOKUP(CF15,'ATP - RSAs'!$F:$F,1,FALSE),"#N/A")</f>
        <v>Discover A Fixed-Duration Treatment Option For 3L+ DLBCL And View Important Safety Info.</v>
      </c>
      <c r="CH15" s="219" t="s">
        <v>64</v>
      </c>
      <c r="CI15" s="219" t="str">
        <f>IFERROR(VLOOKUP(CH15,'ATP - RSAs'!$H:$H,1,FALSE),"#N/A")</f>
        <v>Any</v>
      </c>
      <c r="CJ15" s="219" t="str">
        <f t="shared" si="14"/>
        <v>Discover A Fixed-Duration Treatment Option For 3L+ DLBCL And View Important Safety Info. Any</v>
      </c>
      <c r="CK15" s="219" t="str">
        <f>VLOOKUP(CJ15,'ATP - RSAs'!$O:$O,1,FALSE)</f>
        <v>Discover A Fixed-Duration Treatment Option For 3L+ DLBCL And View Important Safety Info. Any</v>
      </c>
      <c r="CL15" s="218" t="s">
        <v>65</v>
      </c>
      <c r="CM15" s="218" t="str">
        <f>IFERROR(VLOOKUP(CL15,'ATP - RSAs'!$F:$F,1,FALSE),"#N/A")</f>
        <v>Download The Patient Brochure To Learn More About A DLBCL Fixed-Duration Treatment.</v>
      </c>
      <c r="CN15" s="219" t="s">
        <v>64</v>
      </c>
      <c r="CO15" s="219" t="str">
        <f>IFERROR(VLOOKUP(CN15,'ATP - RSAs'!$H:$H,1,FALSE),"#N/A")</f>
        <v>Any</v>
      </c>
      <c r="CP15" s="219" t="str">
        <f t="shared" si="15"/>
        <v>Download The Patient Brochure To Learn More About A DLBCL Fixed-Duration Treatment. Any</v>
      </c>
      <c r="CQ15" s="219" t="str">
        <f>VLOOKUP(CP15,'ATP - RSAs'!$O:$O,1,FALSE)</f>
        <v>Download The Patient Brochure To Learn More About A DLBCL Fixed-Duration Treatment. Any</v>
      </c>
      <c r="CR15" s="218" t="s">
        <v>66</v>
      </c>
      <c r="CS15" s="218" t="str">
        <f>IFERROR(VLOOKUP(CR15,'ATP - RSAs'!$F:$F,1,FALSE),"#N/A")</f>
        <v>Explore An Infusion Option For Diffuse Large B Cell Lymphoma &amp; View Clinical Results.</v>
      </c>
      <c r="CT15" s="219" t="s">
        <v>64</v>
      </c>
      <c r="CU15" s="219" t="str">
        <f>IFERROR(VLOOKUP(CT15,'ATP - RSAs'!$H:$H,1,FALSE),"#N/A")</f>
        <v>Any</v>
      </c>
      <c r="CV15" s="219" t="str">
        <f t="shared" si="16"/>
        <v>Explore An Infusion Option For Diffuse Large B Cell Lymphoma &amp; View Clinical Results. Any</v>
      </c>
      <c r="CW15" s="219" t="str">
        <f>VLOOKUP(CV15,'ATP - RSAs'!$O:$O,1,FALSE)</f>
        <v>Explore An Infusion Option For Diffuse Large B Cell Lymphoma &amp; View Clinical Results. Any</v>
      </c>
      <c r="CX15" s="218" t="s">
        <v>74</v>
      </c>
      <c r="CY15" s="218" t="str">
        <f>IFERROR(VLOOKUP(CX15,'ATP - RSAs'!$F:$F,1,FALSE),"#N/A")</f>
        <v>Learn More About Starting Treatment For 3L+ DLBCL After Two Or More Prior Therapies.</v>
      </c>
      <c r="CZ15" s="219" t="s">
        <v>64</v>
      </c>
      <c r="DA15" s="219" t="str">
        <f>IFERROR(VLOOKUP(CZ15,'ATP - RSAs'!$H:$H,1,FALSE),"#N/A")</f>
        <v>Any</v>
      </c>
      <c r="DB15" s="219" t="str">
        <f t="shared" si="17"/>
        <v>Learn More About Starting Treatment For 3L+ DLBCL After Two Or More Prior Therapies. Any</v>
      </c>
      <c r="DC15" s="219" t="str">
        <f>VLOOKUP(DB15,'ATP - RSAs'!$O:$O,1,FALSE)</f>
        <v>Learn More About Starting Treatment For 3L+ DLBCL After Two Or More Prior Therapies. Any</v>
      </c>
      <c r="DD15" s="218" t="s">
        <v>68</v>
      </c>
      <c r="DE15" s="2" t="s">
        <v>69</v>
      </c>
    </row>
    <row r="16" spans="1:109" ht="14.4" x14ac:dyDescent="0.3">
      <c r="A16" s="4" t="s">
        <v>46</v>
      </c>
      <c r="B16" s="4" t="str">
        <f>IFERROR(VLOOKUP(A16,'ATP - RSAs'!$A:$A,1,FALSE),"#N/A")</f>
        <v>Unbranded Condition</v>
      </c>
      <c r="C16" s="218" t="s">
        <v>78</v>
      </c>
      <c r="D16" s="218" t="str">
        <f>IFERROR(VLOOKUP(C16,'ATP - RSAs'!$B:$B,1,FALSE),"#N/A")</f>
        <v>Unbranded DLBCL Resources</v>
      </c>
      <c r="E16" s="218" t="str">
        <f t="shared" si="0"/>
        <v>Unbranded Condition Unbranded DLBCL Resources</v>
      </c>
      <c r="F16" s="218" t="s">
        <v>49</v>
      </c>
      <c r="G16" s="218" t="str">
        <f>IFERROR(VLOOKUP(F16,'ATP - RSAs'!$C:$C,1,FALSE),"#N/A")</f>
        <v>Treatment Option For 3L+ DLBCL</v>
      </c>
      <c r="H16" s="219">
        <v>1</v>
      </c>
      <c r="I16" s="219">
        <f>IFERROR(VLOOKUP(H16,'ATP - RSAs'!$E:$E,1,FALSE),"#N/A")</f>
        <v>1</v>
      </c>
      <c r="J16" s="219" t="str">
        <f t="shared" si="1"/>
        <v>Unbranded Condition Unbranded DLBCL Resources Treatment Option For 3L+ DLBCL 1</v>
      </c>
      <c r="K16" s="219" t="str">
        <f>VLOOKUP(J16,'ATP - RSAs'!$N:$N,1,FALSE)</f>
        <v>Unbranded Condition Unbranded DLBCL Resources Treatment Option For 3L+ DLBCL 1</v>
      </c>
      <c r="L16" s="218" t="s">
        <v>50</v>
      </c>
      <c r="M16" s="218" t="str">
        <f>IFERROR(VLOOKUP(L16,'ATP - RSAs'!$C:$C,1,FALSE),"#N/A")</f>
        <v>Download The Patient Brochure</v>
      </c>
      <c r="N16" s="219" t="s">
        <v>51</v>
      </c>
      <c r="O16" s="219" t="str">
        <f>IFERROR(VLOOKUP(N16,'ATP - RSAs'!$E:$E,1,FALSE),"#N/A")</f>
        <v>2 or 3</v>
      </c>
      <c r="P16" s="219" t="str">
        <f t="shared" si="2"/>
        <v>Unbranded Condition Unbranded DLBCL Resources Download The Patient Brochure 2 or 3</v>
      </c>
      <c r="Q16" s="219" t="str">
        <f>VLOOKUP(P16,'ATP - RSAs'!$N:$N,1,FALSE)</f>
        <v>Unbranded Condition Unbranded DLBCL Resources Download The Patient Brochure 2 or 3</v>
      </c>
      <c r="R16" s="218" t="s">
        <v>52</v>
      </c>
      <c r="S16" s="218" t="str">
        <f>IFERROR(VLOOKUP(R16,'ATP - RSAs'!$C:$C,1,FALSE),"#N/A")</f>
        <v>Resources For Patients</v>
      </c>
      <c r="T16" s="219" t="s">
        <v>51</v>
      </c>
      <c r="U16" s="219" t="str">
        <f>IFERROR(VLOOKUP(T16,'ATP - RSAs'!$E:$E,1,FALSE),"#N/A")</f>
        <v>2 or 3</v>
      </c>
      <c r="V16" s="219" t="str">
        <f t="shared" si="3"/>
        <v>Unbranded Condition Unbranded DLBCL Resources Resources For Patients 2 or 3</v>
      </c>
      <c r="W16" s="219" t="str">
        <f>VLOOKUP(V16,'ATP - RSAs'!$N:$N,1,FALSE)</f>
        <v>Unbranded Condition Unbranded DLBCL Resources Resources For Patients 2 or 3</v>
      </c>
      <c r="X16" s="218" t="s">
        <v>53</v>
      </c>
      <c r="Y16" s="218" t="str">
        <f>IFERROR(VLOOKUP(X16,'ATP - RSAs'!$C:$C,1,FALSE),"#N/A")</f>
        <v>Financial Assistance Options</v>
      </c>
      <c r="Z16" s="219" t="s">
        <v>51</v>
      </c>
      <c r="AA16" s="219" t="str">
        <f>IFERROR(VLOOKUP(Z16,'ATP - RSAs'!$E:$E,1,FALSE),"#N/A")</f>
        <v>2 or 3</v>
      </c>
      <c r="AB16" s="219" t="str">
        <f t="shared" si="4"/>
        <v>Unbranded Condition Unbranded DLBCL Resources Financial Assistance Options 2 or 3</v>
      </c>
      <c r="AC16" s="219" t="str">
        <f>VLOOKUP(AB16,'ATP - RSAs'!$N:$N,1,FALSE)</f>
        <v>Unbranded Condition Unbranded DLBCL Resources Financial Assistance Options 2 or 3</v>
      </c>
      <c r="AD16" s="218" t="s">
        <v>54</v>
      </c>
      <c r="AE16" s="218" t="str">
        <f>IFERROR(VLOOKUP(AD16,'ATP - RSAs'!$C:$C,1,FALSE),"#N/A")</f>
        <v>Important Safety Information</v>
      </c>
      <c r="AF16" s="219" t="s">
        <v>51</v>
      </c>
      <c r="AG16" s="219" t="str">
        <f>IFERROR(VLOOKUP(AF16,'ATP - RSAs'!$E:$E,1,FALSE),"#N/A")</f>
        <v>2 or 3</v>
      </c>
      <c r="AH16" s="219" t="str">
        <f t="shared" si="5"/>
        <v>Unbranded Condition Unbranded DLBCL Resources Important Safety Information 2 or 3</v>
      </c>
      <c r="AI16" s="219" t="str">
        <f>VLOOKUP(AH16,'ATP - RSAs'!$N:$N,1,FALSE)</f>
        <v>Unbranded Condition Unbranded DLBCL Resources Important Safety Information 2 or 3</v>
      </c>
      <c r="AJ16" s="218" t="s">
        <v>55</v>
      </c>
      <c r="AK16" s="218" t="str">
        <f>IFERROR(VLOOKUP(AJ16,'ATP - RSAs'!$C:$C,1,FALSE),"#N/A")</f>
        <v>Questions To Ask Your Doctor</v>
      </c>
      <c r="AL16" s="219" t="s">
        <v>51</v>
      </c>
      <c r="AM16" s="219" t="str">
        <f>IFERROR(VLOOKUP(AL16,'ATP - RSAs'!$E:$E,1,FALSE),"#N/A")</f>
        <v>2 or 3</v>
      </c>
      <c r="AN16" s="219" t="str">
        <f t="shared" si="6"/>
        <v>Unbranded Condition Unbranded DLBCL Resources Questions To Ask Your Doctor 2 or 3</v>
      </c>
      <c r="AO16" s="219" t="str">
        <f>VLOOKUP(AN16,'ATP - RSAs'!$N:$N,1,FALSE)</f>
        <v>Unbranded Condition Unbranded DLBCL Resources Questions To Ask Your Doctor 2 or 3</v>
      </c>
      <c r="AP16" s="218" t="s">
        <v>56</v>
      </c>
      <c r="AQ16" s="218" t="str">
        <f>IFERROR(VLOOKUP(AP16,'ATP - RSAs'!$C:$C,1,FALSE),"#N/A")</f>
        <v>DLBCL Infusion Therapy</v>
      </c>
      <c r="AR16" s="219" t="s">
        <v>51</v>
      </c>
      <c r="AS16" s="219" t="str">
        <f>IFERROR(VLOOKUP(AR16,'ATP - RSAs'!$E:$E,1,FALSE),"#N/A")</f>
        <v>2 or 3</v>
      </c>
      <c r="AT16" s="219" t="str">
        <f t="shared" si="7"/>
        <v>Unbranded Condition Unbranded DLBCL Resources DLBCL Infusion Therapy 2 or 3</v>
      </c>
      <c r="AU16" s="219" t="str">
        <f>VLOOKUP(AT16,'ATP - RSAs'!$N:$N,1,FALSE)</f>
        <v>Unbranded Condition Unbranded DLBCL Resources DLBCL Infusion Therapy 2 or 3</v>
      </c>
      <c r="AV16" s="218" t="s">
        <v>79</v>
      </c>
      <c r="AW16" s="218" t="str">
        <f>IFERROR(VLOOKUP(AV16,'ATP - RSAs'!$C:$C,1,FALSE),"#N/A")</f>
        <v>Downloadable Resources</v>
      </c>
      <c r="AX16" s="219" t="s">
        <v>51</v>
      </c>
      <c r="AY16" s="219" t="str">
        <f>IFERROR(VLOOKUP(AX16,'ATP - RSAs'!$E:$E,1,FALSE),"#N/A")</f>
        <v>2 or 3</v>
      </c>
      <c r="AZ16" s="219" t="str">
        <f t="shared" si="8"/>
        <v>Unbranded Condition Unbranded DLBCL Resources Downloadable Resources 2 or 3</v>
      </c>
      <c r="BA16" s="219" t="str">
        <f>VLOOKUP(AZ16,'ATP - RSAs'!$N:$N,1,FALSE)</f>
        <v>Unbranded Condition Unbranded DLBCL Resources Downloadable Resources 2 or 3</v>
      </c>
      <c r="BB16" s="218" t="s">
        <v>58</v>
      </c>
      <c r="BC16" s="218" t="str">
        <f>IFERROR(VLOOKUP(BB16,'ATP - RSAs'!$C:$C,1,FALSE),"#N/A")</f>
        <v>Information For Patients</v>
      </c>
      <c r="BD16" s="219" t="s">
        <v>51</v>
      </c>
      <c r="BE16" s="219" t="str">
        <f>IFERROR(VLOOKUP(BD16,'ATP - RSAs'!$E:$E,1,FALSE),"#N/A")</f>
        <v>2 or 3</v>
      </c>
      <c r="BF16" s="219" t="str">
        <f t="shared" si="9"/>
        <v>Unbranded Condition Unbranded DLBCL Resources Information For Patients 2 or 3</v>
      </c>
      <c r="BG16" s="219" t="str">
        <f>VLOOKUP(BF16,'ATP - RSAs'!$N:$N,1,FALSE)</f>
        <v>Unbranded Condition Unbranded DLBCL Resources Information For Patients 2 or 3</v>
      </c>
      <c r="BH16" s="218" t="s">
        <v>59</v>
      </c>
      <c r="BI16" s="218" t="str">
        <f>IFERROR(VLOOKUP(BH16,'ATP - RSAs'!$C:$C,1,FALSE),"#N/A")</f>
        <v>Efficacy &amp; Safety Information</v>
      </c>
      <c r="BJ16" s="219" t="s">
        <v>51</v>
      </c>
      <c r="BK16" s="219" t="str">
        <f>IFERROR(VLOOKUP(BJ16,'ATP - RSAs'!$E:$E,1,FALSE),"#N/A")</f>
        <v>2 or 3</v>
      </c>
      <c r="BL16" s="219" t="str">
        <f t="shared" si="10"/>
        <v>Unbranded Condition Unbranded DLBCL Resources Efficacy &amp; Safety Information 2 or 3</v>
      </c>
      <c r="BM16" s="219" t="str">
        <f>VLOOKUP(BL16,'ATP - RSAs'!$N:$N,1,FALSE)</f>
        <v>Unbranded Condition Unbranded DLBCL Resources Efficacy &amp; Safety Information 2 or 3</v>
      </c>
      <c r="BN16" s="218" t="s">
        <v>80</v>
      </c>
      <c r="BO16" s="218" t="str">
        <f>IFERROR(VLOOKUP(BN16,'ATP - RSAs'!$C:$C,1,FALSE),"#N/A")</f>
        <v>Infusion Information Sheet</v>
      </c>
      <c r="BP16" s="219" t="s">
        <v>51</v>
      </c>
      <c r="BQ16" s="219" t="str">
        <f>IFERROR(VLOOKUP(BP16,'ATP - RSAs'!$E:$E,1,FALSE),"#N/A")</f>
        <v>2 or 3</v>
      </c>
      <c r="BR16" s="219" t="str">
        <f t="shared" si="11"/>
        <v>Unbranded Condition Unbranded DLBCL Resources Infusion Information Sheet 2 or 3</v>
      </c>
      <c r="BS16" s="219" t="str">
        <f>VLOOKUP(BR16,'ATP - RSAs'!$N:$N,1,FALSE)</f>
        <v>Unbranded Condition Unbranded DLBCL Resources Infusion Information Sheet 2 or 3</v>
      </c>
      <c r="BT16" s="218" t="s">
        <v>61</v>
      </c>
      <c r="BU16" s="218" t="str">
        <f>IFERROR(VLOOKUP(BT16,'ATP - RSAs'!$C:$C,1,FALSE),"#N/A")</f>
        <v>3L+ DLBCL Treatment Support</v>
      </c>
      <c r="BV16" s="219" t="s">
        <v>51</v>
      </c>
      <c r="BW16" s="219" t="str">
        <f>IFERROR(VLOOKUP(BV16,'ATP - RSAs'!$E:$E,1,FALSE),"#N/A")</f>
        <v>2 or 3</v>
      </c>
      <c r="BX16" s="219" t="str">
        <f t="shared" si="12"/>
        <v>Unbranded Condition Unbranded DLBCL Resources 3L+ DLBCL Treatment Support 2 or 3</v>
      </c>
      <c r="BY16" s="219" t="str">
        <f>VLOOKUP(BX16,'ATP - RSAs'!$N:$N,1,FALSE)</f>
        <v>Unbranded Condition Unbranded DLBCL Resources 3L+ DLBCL Treatment Support 2 or 3</v>
      </c>
      <c r="BZ16" s="218" t="s">
        <v>62</v>
      </c>
      <c r="CA16" s="218" t="str">
        <f>IFERROR(VLOOKUP(BZ16,'ATP - RSAs'!$C:$C,1,FALSE),"#N/A")</f>
        <v>3L+ DLBCL Patient Resources</v>
      </c>
      <c r="CB16" s="219" t="s">
        <v>51</v>
      </c>
      <c r="CC16" s="219" t="str">
        <f>IFERROR(VLOOKUP(CB16,'ATP - RSAs'!$E:$E,1,FALSE),"#N/A")</f>
        <v>2 or 3</v>
      </c>
      <c r="CD16" s="219" t="str">
        <f t="shared" si="13"/>
        <v>Unbranded Condition Unbranded DLBCL Resources 3L+ DLBCL Patient Resources 2 or 3</v>
      </c>
      <c r="CE16" s="219" t="str">
        <f>VLOOKUP(CD16,'ATP - RSAs'!$N:$N,1,FALSE)</f>
        <v>Unbranded Condition Unbranded DLBCL Resources 3L+ DLBCL Patient Resources 2 or 3</v>
      </c>
      <c r="CF16" s="218" t="s">
        <v>63</v>
      </c>
      <c r="CG16" s="218" t="str">
        <f>IFERROR(VLOOKUP(CF16,'ATP - RSAs'!$F:$F,1,FALSE),"#N/A")</f>
        <v>Discover A Fixed-Duration Treatment Option For 3L+ DLBCL And View Important Safety Info.</v>
      </c>
      <c r="CH16" s="219" t="s">
        <v>64</v>
      </c>
      <c r="CI16" s="219" t="str">
        <f>IFERROR(VLOOKUP(CH16,'ATP - RSAs'!$H:$H,1,FALSE),"#N/A")</f>
        <v>Any</v>
      </c>
      <c r="CJ16" s="219" t="str">
        <f t="shared" si="14"/>
        <v>Discover A Fixed-Duration Treatment Option For 3L+ DLBCL And View Important Safety Info. Any</v>
      </c>
      <c r="CK16" s="219" t="str">
        <f>VLOOKUP(CJ16,'ATP - RSAs'!$O:$O,1,FALSE)</f>
        <v>Discover A Fixed-Duration Treatment Option For 3L+ DLBCL And View Important Safety Info. Any</v>
      </c>
      <c r="CL16" s="218" t="s">
        <v>65</v>
      </c>
      <c r="CM16" s="218" t="str">
        <f>IFERROR(VLOOKUP(CL16,'ATP - RSAs'!$F:$F,1,FALSE),"#N/A")</f>
        <v>Download The Patient Brochure To Learn More About A DLBCL Fixed-Duration Treatment.</v>
      </c>
      <c r="CN16" s="219" t="s">
        <v>64</v>
      </c>
      <c r="CO16" s="219" t="str">
        <f>IFERROR(VLOOKUP(CN16,'ATP - RSAs'!$H:$H,1,FALSE),"#N/A")</f>
        <v>Any</v>
      </c>
      <c r="CP16" s="219" t="str">
        <f t="shared" si="15"/>
        <v>Download The Patient Brochure To Learn More About A DLBCL Fixed-Duration Treatment. Any</v>
      </c>
      <c r="CQ16" s="219" t="str">
        <f>VLOOKUP(CP16,'ATP - RSAs'!$O:$O,1,FALSE)</f>
        <v>Download The Patient Brochure To Learn More About A DLBCL Fixed-Duration Treatment. Any</v>
      </c>
      <c r="CR16" s="218" t="s">
        <v>66</v>
      </c>
      <c r="CS16" s="218" t="str">
        <f>IFERROR(VLOOKUP(CR16,'ATP - RSAs'!$F:$F,1,FALSE),"#N/A")</f>
        <v>Explore An Infusion Option For Diffuse Large B Cell Lymphoma &amp; View Clinical Results.</v>
      </c>
      <c r="CT16" s="219" t="s">
        <v>64</v>
      </c>
      <c r="CU16" s="219" t="str">
        <f>IFERROR(VLOOKUP(CT16,'ATP - RSAs'!$H:$H,1,FALSE),"#N/A")</f>
        <v>Any</v>
      </c>
      <c r="CV16" s="219" t="str">
        <f t="shared" si="16"/>
        <v>Explore An Infusion Option For Diffuse Large B Cell Lymphoma &amp; View Clinical Results. Any</v>
      </c>
      <c r="CW16" s="219" t="str">
        <f>VLOOKUP(CV16,'ATP - RSAs'!$O:$O,1,FALSE)</f>
        <v>Explore An Infusion Option For Diffuse Large B Cell Lymphoma &amp; View Clinical Results. Any</v>
      </c>
      <c r="CX16" s="218" t="s">
        <v>74</v>
      </c>
      <c r="CY16" s="218" t="str">
        <f>IFERROR(VLOOKUP(CX16,'ATP - RSAs'!$F:$F,1,FALSE),"#N/A")</f>
        <v>Learn More About Starting Treatment For 3L+ DLBCL After Two Or More Prior Therapies.</v>
      </c>
      <c r="CZ16" s="219" t="s">
        <v>64</v>
      </c>
      <c r="DA16" s="219" t="str">
        <f>IFERROR(VLOOKUP(CZ16,'ATP - RSAs'!$H:$H,1,FALSE),"#N/A")</f>
        <v>Any</v>
      </c>
      <c r="DB16" s="219" t="str">
        <f t="shared" si="17"/>
        <v>Learn More About Starting Treatment For 3L+ DLBCL After Two Or More Prior Therapies. Any</v>
      </c>
      <c r="DC16" s="219" t="str">
        <f>VLOOKUP(DB16,'ATP - RSAs'!$O:$O,1,FALSE)</f>
        <v>Learn More About Starting Treatment For 3L+ DLBCL After Two Or More Prior Therapies. Any</v>
      </c>
      <c r="DD16" s="218" t="s">
        <v>68</v>
      </c>
      <c r="DE16" s="2" t="s">
        <v>81</v>
      </c>
    </row>
    <row r="17" spans="1:109" ht="14.4" x14ac:dyDescent="0.3">
      <c r="A17" s="4" t="s">
        <v>46</v>
      </c>
      <c r="B17" s="4" t="str">
        <f>IFERROR(VLOOKUP(A17,'ATP - RSAs'!$A:$A,1,FALSE),"#N/A")</f>
        <v>Unbranded Condition</v>
      </c>
      <c r="C17" s="218" t="s">
        <v>83</v>
      </c>
      <c r="D17" s="218" t="str">
        <f>IFERROR(VLOOKUP(C17,'ATP - RSAs'!$B:$B,1,FALSE),"#N/A")</f>
        <v>Unbranded DLBCL Financial Support</v>
      </c>
      <c r="E17" s="218" t="str">
        <f t="shared" si="0"/>
        <v>Unbranded Condition Unbranded DLBCL Financial Support</v>
      </c>
      <c r="F17" s="218" t="s">
        <v>49</v>
      </c>
      <c r="G17" s="218" t="str">
        <f>IFERROR(VLOOKUP(F17,'ATP - RSAs'!$C:$C,1,FALSE),"#N/A")</f>
        <v>Treatment Option For 3L+ DLBCL</v>
      </c>
      <c r="H17" s="219">
        <v>1</v>
      </c>
      <c r="I17" s="219">
        <f>IFERROR(VLOOKUP(H17,'ATP - RSAs'!$E:$E,1,FALSE),"#N/A")</f>
        <v>1</v>
      </c>
      <c r="J17" s="219" t="str">
        <f t="shared" si="1"/>
        <v>Unbranded Condition Unbranded DLBCL Financial Support Treatment Option For 3L+ DLBCL 1</v>
      </c>
      <c r="K17" s="219" t="str">
        <f>VLOOKUP(J17,'ATP - RSAs'!$N:$N,1,FALSE)</f>
        <v>Unbranded Condition Unbranded DLBCL Financial Support Treatment Option For 3L+ DLBCL 1</v>
      </c>
      <c r="L17" s="218" t="s">
        <v>50</v>
      </c>
      <c r="M17" s="218" t="str">
        <f>IFERROR(VLOOKUP(L17,'ATP - RSAs'!$C:$C,1,FALSE),"#N/A")</f>
        <v>Download The Patient Brochure</v>
      </c>
      <c r="N17" s="219" t="s">
        <v>51</v>
      </c>
      <c r="O17" s="219" t="str">
        <f>IFERROR(VLOOKUP(N17,'ATP - RSAs'!$E:$E,1,FALSE),"#N/A")</f>
        <v>2 or 3</v>
      </c>
      <c r="P17" s="219" t="str">
        <f t="shared" si="2"/>
        <v>Unbranded Condition Unbranded DLBCL Financial Support Download The Patient Brochure 2 or 3</v>
      </c>
      <c r="Q17" s="219" t="str">
        <f>VLOOKUP(P17,'ATP - RSAs'!$N:$N,1,FALSE)</f>
        <v>Unbranded Condition Unbranded DLBCL Financial Support Download The Patient Brochure 2 or 3</v>
      </c>
      <c r="R17" s="218" t="s">
        <v>52</v>
      </c>
      <c r="S17" s="218" t="str">
        <f>IFERROR(VLOOKUP(R17,'ATP - RSAs'!$C:$C,1,FALSE),"#N/A")</f>
        <v>Resources For Patients</v>
      </c>
      <c r="T17" s="219" t="s">
        <v>51</v>
      </c>
      <c r="U17" s="219" t="str">
        <f>IFERROR(VLOOKUP(T17,'ATP - RSAs'!$E:$E,1,FALSE),"#N/A")</f>
        <v>2 or 3</v>
      </c>
      <c r="V17" s="219" t="str">
        <f t="shared" si="3"/>
        <v>Unbranded Condition Unbranded DLBCL Financial Support Resources For Patients 2 or 3</v>
      </c>
      <c r="W17" s="219" t="str">
        <f>VLOOKUP(V17,'ATP - RSAs'!$N:$N,1,FALSE)</f>
        <v>Unbranded Condition Unbranded DLBCL Financial Support Resources For Patients 2 or 3</v>
      </c>
      <c r="X17" s="218" t="s">
        <v>53</v>
      </c>
      <c r="Y17" s="218" t="str">
        <f>IFERROR(VLOOKUP(X17,'ATP - RSAs'!$C:$C,1,FALSE),"#N/A")</f>
        <v>Financial Assistance Options</v>
      </c>
      <c r="Z17" s="219" t="s">
        <v>51</v>
      </c>
      <c r="AA17" s="219" t="str">
        <f>IFERROR(VLOOKUP(Z17,'ATP - RSAs'!$E:$E,1,FALSE),"#N/A")</f>
        <v>2 or 3</v>
      </c>
      <c r="AB17" s="219" t="str">
        <f t="shared" si="4"/>
        <v>Unbranded Condition Unbranded DLBCL Financial Support Financial Assistance Options 2 or 3</v>
      </c>
      <c r="AC17" s="219" t="str">
        <f>VLOOKUP(AB17,'ATP - RSAs'!$N:$N,1,FALSE)</f>
        <v>Unbranded Condition Unbranded DLBCL Financial Support Financial Assistance Options 2 or 3</v>
      </c>
      <c r="AD17" s="218" t="s">
        <v>54</v>
      </c>
      <c r="AE17" s="218" t="str">
        <f>IFERROR(VLOOKUP(AD17,'ATP - RSAs'!$C:$C,1,FALSE),"#N/A")</f>
        <v>Important Safety Information</v>
      </c>
      <c r="AF17" s="219" t="s">
        <v>51</v>
      </c>
      <c r="AG17" s="219" t="str">
        <f>IFERROR(VLOOKUP(AF17,'ATP - RSAs'!$E:$E,1,FALSE),"#N/A")</f>
        <v>2 or 3</v>
      </c>
      <c r="AH17" s="219" t="str">
        <f t="shared" si="5"/>
        <v>Unbranded Condition Unbranded DLBCL Financial Support Important Safety Information 2 or 3</v>
      </c>
      <c r="AI17" s="219" t="str">
        <f>VLOOKUP(AH17,'ATP - RSAs'!$N:$N,1,FALSE)</f>
        <v>Unbranded Condition Unbranded DLBCL Financial Support Important Safety Information 2 or 3</v>
      </c>
      <c r="AJ17" s="218" t="s">
        <v>55</v>
      </c>
      <c r="AK17" s="218" t="str">
        <f>IFERROR(VLOOKUP(AJ17,'ATP - RSAs'!$C:$C,1,FALSE),"#N/A")</f>
        <v>Questions To Ask Your Doctor</v>
      </c>
      <c r="AL17" s="219" t="s">
        <v>51</v>
      </c>
      <c r="AM17" s="219" t="str">
        <f>IFERROR(VLOOKUP(AL17,'ATP - RSAs'!$E:$E,1,FALSE),"#N/A")</f>
        <v>2 or 3</v>
      </c>
      <c r="AN17" s="219" t="str">
        <f t="shared" si="6"/>
        <v>Unbranded Condition Unbranded DLBCL Financial Support Questions To Ask Your Doctor 2 or 3</v>
      </c>
      <c r="AO17" s="219" t="str">
        <f>VLOOKUP(AN17,'ATP - RSAs'!$N:$N,1,FALSE)</f>
        <v>Unbranded Condition Unbranded DLBCL Financial Support Questions To Ask Your Doctor 2 or 3</v>
      </c>
      <c r="AP17" s="218" t="s">
        <v>56</v>
      </c>
      <c r="AQ17" s="218" t="str">
        <f>IFERROR(VLOOKUP(AP17,'ATP - RSAs'!$C:$C,1,FALSE),"#N/A")</f>
        <v>DLBCL Infusion Therapy</v>
      </c>
      <c r="AR17" s="219" t="s">
        <v>51</v>
      </c>
      <c r="AS17" s="219" t="str">
        <f>IFERROR(VLOOKUP(AR17,'ATP - RSAs'!$E:$E,1,FALSE),"#N/A")</f>
        <v>2 or 3</v>
      </c>
      <c r="AT17" s="219" t="str">
        <f t="shared" si="7"/>
        <v>Unbranded Condition Unbranded DLBCL Financial Support DLBCL Infusion Therapy 2 or 3</v>
      </c>
      <c r="AU17" s="219" t="str">
        <f>VLOOKUP(AT17,'ATP - RSAs'!$N:$N,1,FALSE)</f>
        <v>Unbranded Condition Unbranded DLBCL Financial Support DLBCL Infusion Therapy 2 or 3</v>
      </c>
      <c r="AV17" s="218" t="s">
        <v>84</v>
      </c>
      <c r="AW17" s="218" t="str">
        <f>IFERROR(VLOOKUP(AV17,'ATP - RSAs'!$C:$C,1,FALSE),"#N/A")</f>
        <v>Financial Assistance Tool</v>
      </c>
      <c r="AX17" s="219" t="s">
        <v>51</v>
      </c>
      <c r="AY17" s="219" t="str">
        <f>IFERROR(VLOOKUP(AX17,'ATP - RSAs'!$E:$E,1,FALSE),"#N/A")</f>
        <v>2 or 3</v>
      </c>
      <c r="AZ17" s="219" t="str">
        <f t="shared" si="8"/>
        <v>Unbranded Condition Unbranded DLBCL Financial Support Financial Assistance Tool 2 or 3</v>
      </c>
      <c r="BA17" s="219" t="str">
        <f>VLOOKUP(AZ17,'ATP - RSAs'!$N:$N,1,FALSE)</f>
        <v>Unbranded Condition Unbranded DLBCL Financial Support Financial Assistance Tool 2 or 3</v>
      </c>
      <c r="BB17" s="218" t="s">
        <v>58</v>
      </c>
      <c r="BC17" s="218" t="str">
        <f>IFERROR(VLOOKUP(BB17,'ATP - RSAs'!$C:$C,1,FALSE),"#N/A")</f>
        <v>Information For Patients</v>
      </c>
      <c r="BD17" s="219" t="s">
        <v>51</v>
      </c>
      <c r="BE17" s="219" t="str">
        <f>IFERROR(VLOOKUP(BD17,'ATP - RSAs'!$E:$E,1,FALSE),"#N/A")</f>
        <v>2 or 3</v>
      </c>
      <c r="BF17" s="219" t="str">
        <f t="shared" si="9"/>
        <v>Unbranded Condition Unbranded DLBCL Financial Support Information For Patients 2 or 3</v>
      </c>
      <c r="BG17" s="219" t="str">
        <f>VLOOKUP(BF17,'ATP - RSAs'!$N:$N,1,FALSE)</f>
        <v>Unbranded Condition Unbranded DLBCL Financial Support Information For Patients 2 or 3</v>
      </c>
      <c r="BH17" s="218" t="s">
        <v>59</v>
      </c>
      <c r="BI17" s="218" t="str">
        <f>IFERROR(VLOOKUP(BH17,'ATP - RSAs'!$C:$C,1,FALSE),"#N/A")</f>
        <v>Efficacy &amp; Safety Information</v>
      </c>
      <c r="BJ17" s="219" t="s">
        <v>51</v>
      </c>
      <c r="BK17" s="219" t="str">
        <f>IFERROR(VLOOKUP(BJ17,'ATP - RSAs'!$E:$E,1,FALSE),"#N/A")</f>
        <v>2 or 3</v>
      </c>
      <c r="BL17" s="219" t="str">
        <f t="shared" si="10"/>
        <v>Unbranded Condition Unbranded DLBCL Financial Support Efficacy &amp; Safety Information 2 or 3</v>
      </c>
      <c r="BM17" s="219" t="str">
        <f>VLOOKUP(BL17,'ATP - RSAs'!$N:$N,1,FALSE)</f>
        <v>Unbranded Condition Unbranded DLBCL Financial Support Efficacy &amp; Safety Information 2 or 3</v>
      </c>
      <c r="BN17" s="218" t="s">
        <v>85</v>
      </c>
      <c r="BO17" s="218" t="str">
        <f>IFERROR(VLOOKUP(BN17,'ATP - RSAs'!$C:$C,1,FALSE),"#N/A")</f>
        <v>DLBCL Financial Support Info</v>
      </c>
      <c r="BP17" s="219" t="s">
        <v>51</v>
      </c>
      <c r="BQ17" s="219" t="str">
        <f>IFERROR(VLOOKUP(BP17,'ATP - RSAs'!$E:$E,1,FALSE),"#N/A")</f>
        <v>2 or 3</v>
      </c>
      <c r="BR17" s="219" t="str">
        <f t="shared" si="11"/>
        <v>Unbranded Condition Unbranded DLBCL Financial Support DLBCL Financial Support Info 2 or 3</v>
      </c>
      <c r="BS17" s="219" t="str">
        <f>VLOOKUP(BR17,'ATP - RSAs'!$N:$N,1,FALSE)</f>
        <v>Unbranded Condition Unbranded DLBCL Financial Support DLBCL Financial Support Info 2 or 3</v>
      </c>
      <c r="BT17" s="218" t="s">
        <v>62</v>
      </c>
      <c r="BU17" s="218" t="str">
        <f>IFERROR(VLOOKUP(BT17,'ATP - RSAs'!$C:$C,1,FALSE),"#N/A")</f>
        <v>3L+ DLBCL Patient Resources</v>
      </c>
      <c r="BV17" s="219" t="s">
        <v>51</v>
      </c>
      <c r="BW17" s="219" t="str">
        <f>IFERROR(VLOOKUP(BV17,'ATP - RSAs'!$E:$E,1,FALSE),"#N/A")</f>
        <v>2 or 3</v>
      </c>
      <c r="BX17" s="219" t="str">
        <f t="shared" si="12"/>
        <v>Unbranded Condition Unbranded DLBCL Financial Support 3L+ DLBCL Patient Resources 2 or 3</v>
      </c>
      <c r="BY17" s="219" t="str">
        <f>VLOOKUP(BX17,'ATP - RSAs'!$N:$N,1,FALSE)</f>
        <v>Unbranded Condition Unbranded DLBCL Financial Support 3L+ DLBCL Patient Resources 2 or 3</v>
      </c>
      <c r="BZ17" s="218" t="s">
        <v>86</v>
      </c>
      <c r="CA17" s="218" t="str">
        <f>IFERROR(VLOOKUP(BZ17,'ATP - RSAs'!$C:$C,1,FALSE),"#N/A")</f>
        <v>Apply For Financial Support</v>
      </c>
      <c r="CB17" s="219" t="s">
        <v>51</v>
      </c>
      <c r="CC17" s="219" t="str">
        <f>IFERROR(VLOOKUP(CB17,'ATP - RSAs'!$E:$E,1,FALSE),"#N/A")</f>
        <v>2 or 3</v>
      </c>
      <c r="CD17" s="219" t="str">
        <f t="shared" si="13"/>
        <v>Unbranded Condition Unbranded DLBCL Financial Support Apply For Financial Support 2 or 3</v>
      </c>
      <c r="CE17" s="219" t="str">
        <f>VLOOKUP(CD17,'ATP - RSAs'!$N:$N,1,FALSE)</f>
        <v>Unbranded Condition Unbranded DLBCL Financial Support Apply For Financial Support 2 or 3</v>
      </c>
      <c r="CF17" s="218" t="s">
        <v>63</v>
      </c>
      <c r="CG17" s="218" t="str">
        <f>IFERROR(VLOOKUP(CF17,'ATP - RSAs'!$F:$F,1,FALSE),"#N/A")</f>
        <v>Discover A Fixed-Duration Treatment Option For 3L+ DLBCL And View Important Safety Info.</v>
      </c>
      <c r="CH17" s="219" t="s">
        <v>64</v>
      </c>
      <c r="CI17" s="219" t="str">
        <f>IFERROR(VLOOKUP(CH17,'ATP - RSAs'!$H:$H,1,FALSE),"#N/A")</f>
        <v>Any</v>
      </c>
      <c r="CJ17" s="219" t="str">
        <f t="shared" si="14"/>
        <v>Discover A Fixed-Duration Treatment Option For 3L+ DLBCL And View Important Safety Info. Any</v>
      </c>
      <c r="CK17" s="219" t="str">
        <f>VLOOKUP(CJ17,'ATP - RSAs'!$O:$O,1,FALSE)</f>
        <v>Discover A Fixed-Duration Treatment Option For 3L+ DLBCL And View Important Safety Info. Any</v>
      </c>
      <c r="CL17" s="218" t="s">
        <v>66</v>
      </c>
      <c r="CM17" s="218" t="str">
        <f>IFERROR(VLOOKUP(CL17,'ATP - RSAs'!$F:$F,1,FALSE),"#N/A")</f>
        <v>Explore An Infusion Option For Diffuse Large B Cell Lymphoma &amp; View Clinical Results.</v>
      </c>
      <c r="CN17" s="219" t="s">
        <v>64</v>
      </c>
      <c r="CO17" s="219" t="str">
        <f>IFERROR(VLOOKUP(CN17,'ATP - RSAs'!$H:$H,1,FALSE),"#N/A")</f>
        <v>Any</v>
      </c>
      <c r="CP17" s="219" t="str">
        <f t="shared" si="15"/>
        <v>Explore An Infusion Option For Diffuse Large B Cell Lymphoma &amp; View Clinical Results. Any</v>
      </c>
      <c r="CQ17" s="219" t="str">
        <f>VLOOKUP(CP17,'ATP - RSAs'!$O:$O,1,FALSE)</f>
        <v>Explore An Infusion Option For Diffuse Large B Cell Lymphoma &amp; View Clinical Results. Any</v>
      </c>
      <c r="CR17" s="218" t="s">
        <v>87</v>
      </c>
      <c r="CS17" s="218" t="str">
        <f>IFERROR(VLOOKUP(CR17,'ATP - RSAs'!$F:$F,1,FALSE),"#N/A")</f>
        <v>Use The Financial Assistance Tool To See Which Programs May Be Right For You.</v>
      </c>
      <c r="CT17" s="219" t="s">
        <v>64</v>
      </c>
      <c r="CU17" s="219" t="str">
        <f>IFERROR(VLOOKUP(CT17,'ATP - RSAs'!$H:$H,1,FALSE),"#N/A")</f>
        <v>Any</v>
      </c>
      <c r="CV17" s="219" t="str">
        <f t="shared" si="16"/>
        <v>Use The Financial Assistance Tool To See Which Programs May Be Right For You. Any</v>
      </c>
      <c r="CW17" s="219" t="str">
        <f>VLOOKUP(CV17,'ATP - RSAs'!$O:$O,1,FALSE)</f>
        <v>Use The Financial Assistance Tool To See Which Programs May Be Right For You. Any</v>
      </c>
      <c r="CX17" s="218" t="s">
        <v>74</v>
      </c>
      <c r="CY17" s="218" t="str">
        <f>IFERROR(VLOOKUP(CX17,'ATP - RSAs'!$F:$F,1,FALSE),"#N/A")</f>
        <v>Learn More About Starting Treatment For 3L+ DLBCL After Two Or More Prior Therapies.</v>
      </c>
      <c r="CZ17" s="219" t="s">
        <v>64</v>
      </c>
      <c r="DA17" s="219" t="str">
        <f>IFERROR(VLOOKUP(CZ17,'ATP - RSAs'!$H:$H,1,FALSE),"#N/A")</f>
        <v>Any</v>
      </c>
      <c r="DB17" s="219" t="str">
        <f t="shared" si="17"/>
        <v>Learn More About Starting Treatment For 3L+ DLBCL After Two Or More Prior Therapies. Any</v>
      </c>
      <c r="DC17" s="219" t="str">
        <f>VLOOKUP(DB17,'ATP - RSAs'!$O:$O,1,FALSE)</f>
        <v>Learn More About Starting Treatment For 3L+ DLBCL After Two Or More Prior Therapies. Any</v>
      </c>
      <c r="DD17" s="218" t="s">
        <v>68</v>
      </c>
      <c r="DE17" s="2" t="s">
        <v>88</v>
      </c>
    </row>
    <row r="18" spans="1:109" ht="14.4" x14ac:dyDescent="0.3">
      <c r="A18" s="4" t="s">
        <v>46</v>
      </c>
      <c r="B18" s="4" t="str">
        <f>IFERROR(VLOOKUP(A18,'ATP - RSAs'!$A:$A,1,FALSE),"#N/A")</f>
        <v>Unbranded Condition</v>
      </c>
      <c r="C18" s="218" t="s">
        <v>90</v>
      </c>
      <c r="D18" s="218" t="str">
        <f>IFERROR(VLOOKUP(C18,'ATP - RSAs'!$B:$B,1,FALSE),"#N/A")</f>
        <v>Unbranded DLBCL Results</v>
      </c>
      <c r="E18" s="218" t="str">
        <f t="shared" si="0"/>
        <v>Unbranded Condition Unbranded DLBCL Results</v>
      </c>
      <c r="F18" s="218" t="s">
        <v>49</v>
      </c>
      <c r="G18" s="218" t="str">
        <f>IFERROR(VLOOKUP(F18,'ATP - RSAs'!$C:$C,1,FALSE),"#N/A")</f>
        <v>Treatment Option For 3L+ DLBCL</v>
      </c>
      <c r="H18" s="219">
        <v>1</v>
      </c>
      <c r="I18" s="219">
        <f>IFERROR(VLOOKUP(H18,'ATP - RSAs'!$E:$E,1,FALSE),"#N/A")</f>
        <v>1</v>
      </c>
      <c r="J18" s="219" t="str">
        <f t="shared" si="1"/>
        <v>Unbranded Condition Unbranded DLBCL Results Treatment Option For 3L+ DLBCL 1</v>
      </c>
      <c r="K18" s="219" t="str">
        <f>VLOOKUP(J18,'ATP - RSAs'!$N:$N,1,FALSE)</f>
        <v>Unbranded Condition Unbranded DLBCL Results Treatment Option For 3L+ DLBCL 1</v>
      </c>
      <c r="L18" s="218" t="s">
        <v>50</v>
      </c>
      <c r="M18" s="218" t="str">
        <f>IFERROR(VLOOKUP(L18,'ATP - RSAs'!$C:$C,1,FALSE),"#N/A")</f>
        <v>Download The Patient Brochure</v>
      </c>
      <c r="N18" s="219" t="s">
        <v>51</v>
      </c>
      <c r="O18" s="219" t="str">
        <f>IFERROR(VLOOKUP(N18,'ATP - RSAs'!$E:$E,1,FALSE),"#N/A")</f>
        <v>2 or 3</v>
      </c>
      <c r="P18" s="219" t="str">
        <f t="shared" si="2"/>
        <v>Unbranded Condition Unbranded DLBCL Results Download The Patient Brochure 2 or 3</v>
      </c>
      <c r="Q18" s="219" t="str">
        <f>VLOOKUP(P18,'ATP - RSAs'!$N:$N,1,FALSE)</f>
        <v>Unbranded Condition Unbranded DLBCL Results Download The Patient Brochure 2 or 3</v>
      </c>
      <c r="R18" s="218" t="s">
        <v>52</v>
      </c>
      <c r="S18" s="218" t="str">
        <f>IFERROR(VLOOKUP(R18,'ATP - RSAs'!$C:$C,1,FALSE),"#N/A")</f>
        <v>Resources For Patients</v>
      </c>
      <c r="T18" s="219" t="s">
        <v>51</v>
      </c>
      <c r="U18" s="219" t="str">
        <f>IFERROR(VLOOKUP(T18,'ATP - RSAs'!$E:$E,1,FALSE),"#N/A")</f>
        <v>2 or 3</v>
      </c>
      <c r="V18" s="219" t="str">
        <f t="shared" si="3"/>
        <v>Unbranded Condition Unbranded DLBCL Results Resources For Patients 2 or 3</v>
      </c>
      <c r="W18" s="219" t="str">
        <f>VLOOKUP(V18,'ATP - RSAs'!$N:$N,1,FALSE)</f>
        <v>Unbranded Condition Unbranded DLBCL Results Resources For Patients 2 or 3</v>
      </c>
      <c r="X18" s="218" t="s">
        <v>53</v>
      </c>
      <c r="Y18" s="218" t="str">
        <f>IFERROR(VLOOKUP(X18,'ATP - RSAs'!$C:$C,1,FALSE),"#N/A")</f>
        <v>Financial Assistance Options</v>
      </c>
      <c r="Z18" s="219" t="s">
        <v>51</v>
      </c>
      <c r="AA18" s="219" t="str">
        <f>IFERROR(VLOOKUP(Z18,'ATP - RSAs'!$E:$E,1,FALSE),"#N/A")</f>
        <v>2 or 3</v>
      </c>
      <c r="AB18" s="219" t="str">
        <f t="shared" si="4"/>
        <v>Unbranded Condition Unbranded DLBCL Results Financial Assistance Options 2 or 3</v>
      </c>
      <c r="AC18" s="219" t="str">
        <f>VLOOKUP(AB18,'ATP - RSAs'!$N:$N,1,FALSE)</f>
        <v>Unbranded Condition Unbranded DLBCL Results Financial Assistance Options 2 or 3</v>
      </c>
      <c r="AD18" s="218" t="s">
        <v>54</v>
      </c>
      <c r="AE18" s="218" t="str">
        <f>IFERROR(VLOOKUP(AD18,'ATP - RSAs'!$C:$C,1,FALSE),"#N/A")</f>
        <v>Important Safety Information</v>
      </c>
      <c r="AF18" s="219" t="s">
        <v>51</v>
      </c>
      <c r="AG18" s="219" t="str">
        <f>IFERROR(VLOOKUP(AF18,'ATP - RSAs'!$E:$E,1,FALSE),"#N/A")</f>
        <v>2 or 3</v>
      </c>
      <c r="AH18" s="219" t="str">
        <f t="shared" si="5"/>
        <v>Unbranded Condition Unbranded DLBCL Results Important Safety Information 2 or 3</v>
      </c>
      <c r="AI18" s="219" t="str">
        <f>VLOOKUP(AH18,'ATP - RSAs'!$N:$N,1,FALSE)</f>
        <v>Unbranded Condition Unbranded DLBCL Results Important Safety Information 2 or 3</v>
      </c>
      <c r="AJ18" s="218" t="s">
        <v>55</v>
      </c>
      <c r="AK18" s="218" t="str">
        <f>IFERROR(VLOOKUP(AJ18,'ATP - RSAs'!$C:$C,1,FALSE),"#N/A")</f>
        <v>Questions To Ask Your Doctor</v>
      </c>
      <c r="AL18" s="219" t="s">
        <v>51</v>
      </c>
      <c r="AM18" s="219" t="str">
        <f>IFERROR(VLOOKUP(AL18,'ATP - RSAs'!$E:$E,1,FALSE),"#N/A")</f>
        <v>2 or 3</v>
      </c>
      <c r="AN18" s="219" t="str">
        <f t="shared" si="6"/>
        <v>Unbranded Condition Unbranded DLBCL Results Questions To Ask Your Doctor 2 or 3</v>
      </c>
      <c r="AO18" s="219" t="str">
        <f>VLOOKUP(AN18,'ATP - RSAs'!$N:$N,1,FALSE)</f>
        <v>Unbranded Condition Unbranded DLBCL Results Questions To Ask Your Doctor 2 or 3</v>
      </c>
      <c r="AP18" s="218" t="s">
        <v>56</v>
      </c>
      <c r="AQ18" s="218" t="str">
        <f>IFERROR(VLOOKUP(AP18,'ATP - RSAs'!$C:$C,1,FALSE),"#N/A")</f>
        <v>DLBCL Infusion Therapy</v>
      </c>
      <c r="AR18" s="219" t="s">
        <v>51</v>
      </c>
      <c r="AS18" s="219" t="str">
        <f>IFERROR(VLOOKUP(AR18,'ATP - RSAs'!$E:$E,1,FALSE),"#N/A")</f>
        <v>2 or 3</v>
      </c>
      <c r="AT18" s="219" t="str">
        <f t="shared" si="7"/>
        <v>Unbranded Condition Unbranded DLBCL Results DLBCL Infusion Therapy 2 or 3</v>
      </c>
      <c r="AU18" s="219" t="str">
        <f>VLOOKUP(AT18,'ATP - RSAs'!$N:$N,1,FALSE)</f>
        <v>Unbranded Condition Unbranded DLBCL Results DLBCL Infusion Therapy 2 or 3</v>
      </c>
      <c r="AV18" s="218" t="s">
        <v>57</v>
      </c>
      <c r="AW18" s="218" t="str">
        <f>IFERROR(VLOOKUP(AV18,'ATP - RSAs'!$C:$C,1,FALSE),"#N/A")</f>
        <v>Clinical Trial Results</v>
      </c>
      <c r="AX18" s="219" t="s">
        <v>51</v>
      </c>
      <c r="AY18" s="219" t="str">
        <f>IFERROR(VLOOKUP(AX18,'ATP - RSAs'!$E:$E,1,FALSE),"#N/A")</f>
        <v>2 or 3</v>
      </c>
      <c r="AZ18" s="219" t="str">
        <f t="shared" si="8"/>
        <v>Unbranded Condition Unbranded DLBCL Results Clinical Trial Results 2 or 3</v>
      </c>
      <c r="BA18" s="219" t="str">
        <f>VLOOKUP(AZ18,'ATP - RSAs'!$N:$N,1,FALSE)</f>
        <v>Unbranded Condition Unbranded DLBCL Results Clinical Trial Results 2 or 3</v>
      </c>
      <c r="BB18" s="218" t="s">
        <v>58</v>
      </c>
      <c r="BC18" s="218" t="str">
        <f>IFERROR(VLOOKUP(BB18,'ATP - RSAs'!$C:$C,1,FALSE),"#N/A")</f>
        <v>Information For Patients</v>
      </c>
      <c r="BD18" s="219" t="s">
        <v>51</v>
      </c>
      <c r="BE18" s="219" t="str">
        <f>IFERROR(VLOOKUP(BD18,'ATP - RSAs'!$E:$E,1,FALSE),"#N/A")</f>
        <v>2 or 3</v>
      </c>
      <c r="BF18" s="219" t="str">
        <f t="shared" si="9"/>
        <v>Unbranded Condition Unbranded DLBCL Results Information For Patients 2 or 3</v>
      </c>
      <c r="BG18" s="219" t="str">
        <f>VLOOKUP(BF18,'ATP - RSAs'!$N:$N,1,FALSE)</f>
        <v>Unbranded Condition Unbranded DLBCL Results Information For Patients 2 or 3</v>
      </c>
      <c r="BH18" s="218" t="s">
        <v>59</v>
      </c>
      <c r="BI18" s="218" t="str">
        <f>IFERROR(VLOOKUP(BH18,'ATP - RSAs'!$C:$C,1,FALSE),"#N/A")</f>
        <v>Efficacy &amp; Safety Information</v>
      </c>
      <c r="BJ18" s="219" t="s">
        <v>51</v>
      </c>
      <c r="BK18" s="219" t="str">
        <f>IFERROR(VLOOKUP(BJ18,'ATP - RSAs'!$E:$E,1,FALSE),"#N/A")</f>
        <v>2 or 3</v>
      </c>
      <c r="BL18" s="219" t="str">
        <f t="shared" si="10"/>
        <v>Unbranded Condition Unbranded DLBCL Results Efficacy &amp; Safety Information 2 or 3</v>
      </c>
      <c r="BM18" s="219" t="str">
        <f>VLOOKUP(BL18,'ATP - RSAs'!$N:$N,1,FALSE)</f>
        <v>Unbranded Condition Unbranded DLBCL Results Efficacy &amp; Safety Information 2 or 3</v>
      </c>
      <c r="BN18" s="218" t="s">
        <v>72</v>
      </c>
      <c r="BO18" s="218" t="str">
        <f>IFERROR(VLOOKUP(BN18,'ATP - RSAs'!$C:$C,1,FALSE),"#N/A")</f>
        <v>Diffuse Large B-Cell Lymphoma</v>
      </c>
      <c r="BP18" s="219" t="s">
        <v>51</v>
      </c>
      <c r="BQ18" s="219" t="str">
        <f>IFERROR(VLOOKUP(BP18,'ATP - RSAs'!$E:$E,1,FALSE),"#N/A")</f>
        <v>2 or 3</v>
      </c>
      <c r="BR18" s="219" t="str">
        <f t="shared" si="11"/>
        <v>Unbranded Condition Unbranded DLBCL Results Diffuse Large B-Cell Lymphoma 2 or 3</v>
      </c>
      <c r="BS18" s="219" t="str">
        <f>VLOOKUP(BR18,'ATP - RSAs'!$N:$N,1,FALSE)</f>
        <v>Unbranded Condition Unbranded DLBCL Results Diffuse Large B-Cell Lymphoma 2 or 3</v>
      </c>
      <c r="BT18" s="218" t="s">
        <v>73</v>
      </c>
      <c r="BU18" s="218" t="str">
        <f>IFERROR(VLOOKUP(BT18,'ATP - RSAs'!$C:$C,1,FALSE),"#N/A")</f>
        <v>DLBCL Clinical Study Data</v>
      </c>
      <c r="BV18" s="219" t="s">
        <v>51</v>
      </c>
      <c r="BW18" s="219" t="str">
        <f>IFERROR(VLOOKUP(BV18,'ATP - RSAs'!$E:$E,1,FALSE),"#N/A")</f>
        <v>2 or 3</v>
      </c>
      <c r="BX18" s="219" t="str">
        <f t="shared" si="12"/>
        <v>Unbranded Condition Unbranded DLBCL Results DLBCL Clinical Study Data 2 or 3</v>
      </c>
      <c r="BY18" s="219" t="str">
        <f>VLOOKUP(BX18,'ATP - RSAs'!$N:$N,1,FALSE)</f>
        <v>Unbranded Condition Unbranded DLBCL Results DLBCL Clinical Study Data 2 or 3</v>
      </c>
      <c r="BZ18" s="218" t="s">
        <v>60</v>
      </c>
      <c r="CA18" s="218" t="str">
        <f>IFERROR(VLOOKUP(BZ18,'ATP - RSAs'!$C:$C,1,FALSE),"#N/A")</f>
        <v>About DLBCL</v>
      </c>
      <c r="CB18" s="219" t="s">
        <v>51</v>
      </c>
      <c r="CC18" s="219" t="str">
        <f>IFERROR(VLOOKUP(CB18,'ATP - RSAs'!$E:$E,1,FALSE),"#N/A")</f>
        <v>2 or 3</v>
      </c>
      <c r="CD18" s="219" t="str">
        <f t="shared" si="13"/>
        <v>Unbranded Condition Unbranded DLBCL Results About DLBCL 2 or 3</v>
      </c>
      <c r="CE18" s="219" t="str">
        <f>VLOOKUP(CD18,'ATP - RSAs'!$N:$N,1,FALSE)</f>
        <v>Unbranded Condition Unbranded DLBCL Results About DLBCL 2 or 3</v>
      </c>
      <c r="CF18" s="218" t="s">
        <v>63</v>
      </c>
      <c r="CG18" s="218" t="str">
        <f>IFERROR(VLOOKUP(CF18,'ATP - RSAs'!$F:$F,1,FALSE),"#N/A")</f>
        <v>Discover A Fixed-Duration Treatment Option For 3L+ DLBCL And View Important Safety Info.</v>
      </c>
      <c r="CH18" s="219" t="s">
        <v>64</v>
      </c>
      <c r="CI18" s="219" t="str">
        <f>IFERROR(VLOOKUP(CH18,'ATP - RSAs'!$H:$H,1,FALSE),"#N/A")</f>
        <v>Any</v>
      </c>
      <c r="CJ18" s="219" t="str">
        <f t="shared" si="14"/>
        <v>Discover A Fixed-Duration Treatment Option For 3L+ DLBCL And View Important Safety Info. Any</v>
      </c>
      <c r="CK18" s="219" t="str">
        <f>VLOOKUP(CJ18,'ATP - RSAs'!$O:$O,1,FALSE)</f>
        <v>Discover A Fixed-Duration Treatment Option For 3L+ DLBCL And View Important Safety Info. Any</v>
      </c>
      <c r="CL18" s="218" t="s">
        <v>65</v>
      </c>
      <c r="CM18" s="218" t="str">
        <f>IFERROR(VLOOKUP(CL18,'ATP - RSAs'!$F:$F,1,FALSE),"#N/A")</f>
        <v>Download The Patient Brochure To Learn More About A DLBCL Fixed-Duration Treatment.</v>
      </c>
      <c r="CN18" s="219" t="s">
        <v>64</v>
      </c>
      <c r="CO18" s="219" t="str">
        <f>IFERROR(VLOOKUP(CN18,'ATP - RSAs'!$H:$H,1,FALSE),"#N/A")</f>
        <v>Any</v>
      </c>
      <c r="CP18" s="219" t="str">
        <f t="shared" si="15"/>
        <v>Download The Patient Brochure To Learn More About A DLBCL Fixed-Duration Treatment. Any</v>
      </c>
      <c r="CQ18" s="219" t="str">
        <f>VLOOKUP(CP18,'ATP - RSAs'!$O:$O,1,FALSE)</f>
        <v>Download The Patient Brochure To Learn More About A DLBCL Fixed-Duration Treatment. Any</v>
      </c>
      <c r="CR18" s="218" t="s">
        <v>66</v>
      </c>
      <c r="CS18" s="218" t="str">
        <f>IFERROR(VLOOKUP(CR18,'ATP - RSAs'!$F:$F,1,FALSE),"#N/A")</f>
        <v>Explore An Infusion Option For Diffuse Large B Cell Lymphoma &amp; View Clinical Results.</v>
      </c>
      <c r="CT18" s="219" t="s">
        <v>64</v>
      </c>
      <c r="CU18" s="219" t="str">
        <f>IFERROR(VLOOKUP(CT18,'ATP - RSAs'!$H:$H,1,FALSE),"#N/A")</f>
        <v>Any</v>
      </c>
      <c r="CV18" s="219" t="str">
        <f t="shared" si="16"/>
        <v>Explore An Infusion Option For Diffuse Large B Cell Lymphoma &amp; View Clinical Results. Any</v>
      </c>
      <c r="CW18" s="219" t="str">
        <f>VLOOKUP(CV18,'ATP - RSAs'!$O:$O,1,FALSE)</f>
        <v>Explore An Infusion Option For Diffuse Large B Cell Lymphoma &amp; View Clinical Results. Any</v>
      </c>
      <c r="CX18" s="218" t="s">
        <v>74</v>
      </c>
      <c r="CY18" s="218" t="str">
        <f>IFERROR(VLOOKUP(CX18,'ATP - RSAs'!$F:$F,1,FALSE),"#N/A")</f>
        <v>Learn More About Starting Treatment For 3L+ DLBCL After Two Or More Prior Therapies.</v>
      </c>
      <c r="CZ18" s="219" t="s">
        <v>64</v>
      </c>
      <c r="DA18" s="219" t="str">
        <f>IFERROR(VLOOKUP(CZ18,'ATP - RSAs'!$H:$H,1,FALSE),"#N/A")</f>
        <v>Any</v>
      </c>
      <c r="DB18" s="219" t="str">
        <f t="shared" si="17"/>
        <v>Learn More About Starting Treatment For 3L+ DLBCL After Two Or More Prior Therapies. Any</v>
      </c>
      <c r="DC18" s="219" t="str">
        <f>VLOOKUP(DB18,'ATP - RSAs'!$O:$O,1,FALSE)</f>
        <v>Learn More About Starting Treatment For 3L+ DLBCL After Two Or More Prior Therapies. Any</v>
      </c>
      <c r="DD18" s="218" t="s">
        <v>68</v>
      </c>
      <c r="DE18" s="2" t="s">
        <v>91</v>
      </c>
    </row>
    <row r="19" spans="1:109" ht="14.4" x14ac:dyDescent="0.3">
      <c r="A19" s="4" t="s">
        <v>92</v>
      </c>
      <c r="B19" s="4" t="str">
        <f>IFERROR(VLOOKUP(A19,'ATP - RSAs'!$A:$A,1,FALSE),"#N/A")</f>
        <v>Unbranded Treatment</v>
      </c>
      <c r="C19" s="218" t="s">
        <v>95</v>
      </c>
      <c r="D19" s="218" t="str">
        <f>IFERROR(VLOOKUP(C19,'ATP - RSAs'!$B:$B,1,FALSE),"#N/A")</f>
        <v>Unbranded DLBCL Developments</v>
      </c>
      <c r="E19" s="218" t="str">
        <f t="shared" si="0"/>
        <v>Unbranded Treatment Unbranded DLBCL Developments</v>
      </c>
      <c r="F19" s="218" t="s">
        <v>49</v>
      </c>
      <c r="G19" s="218" t="str">
        <f>IFERROR(VLOOKUP(F19,'ATP - RSAs'!$C:$C,1,FALSE),"#N/A")</f>
        <v>Treatment Option For 3L+ DLBCL</v>
      </c>
      <c r="H19" s="219">
        <v>1</v>
      </c>
      <c r="I19" s="219">
        <f>IFERROR(VLOOKUP(H19,'ATP - RSAs'!$E:$E,1,FALSE),"#N/A")</f>
        <v>1</v>
      </c>
      <c r="J19" s="219" t="str">
        <f t="shared" si="1"/>
        <v>Unbranded Treatment Unbranded DLBCL Developments Treatment Option For 3L+ DLBCL 1</v>
      </c>
      <c r="K19" s="219" t="str">
        <f>VLOOKUP(J19,'ATP - RSAs'!$N:$N,1,FALSE)</f>
        <v>Unbranded Treatment Unbranded DLBCL Developments Treatment Option For 3L+ DLBCL 1</v>
      </c>
      <c r="L19" s="218" t="s">
        <v>50</v>
      </c>
      <c r="M19" s="218" t="str">
        <f>IFERROR(VLOOKUP(L19,'ATP - RSAs'!$C:$C,1,FALSE),"#N/A")</f>
        <v>Download The Patient Brochure</v>
      </c>
      <c r="N19" s="219" t="s">
        <v>51</v>
      </c>
      <c r="O19" s="219" t="str">
        <f>IFERROR(VLOOKUP(N19,'ATP - RSAs'!$E:$E,1,FALSE),"#N/A")</f>
        <v>2 or 3</v>
      </c>
      <c r="P19" s="219" t="str">
        <f t="shared" si="2"/>
        <v>Unbranded Treatment Unbranded DLBCL Developments Download The Patient Brochure 2 or 3</v>
      </c>
      <c r="Q19" s="219" t="str">
        <f>VLOOKUP(P19,'ATP - RSAs'!$N:$N,1,FALSE)</f>
        <v>Unbranded Treatment Unbranded DLBCL Developments Download The Patient Brochure 2 or 3</v>
      </c>
      <c r="R19" s="218" t="s">
        <v>52</v>
      </c>
      <c r="S19" s="218" t="str">
        <f>IFERROR(VLOOKUP(R19,'ATP - RSAs'!$C:$C,1,FALSE),"#N/A")</f>
        <v>Resources For Patients</v>
      </c>
      <c r="T19" s="219" t="s">
        <v>51</v>
      </c>
      <c r="U19" s="219" t="str">
        <f>IFERROR(VLOOKUP(T19,'ATP - RSAs'!$E:$E,1,FALSE),"#N/A")</f>
        <v>2 or 3</v>
      </c>
      <c r="V19" s="219" t="str">
        <f t="shared" si="3"/>
        <v>Unbranded Treatment Unbranded DLBCL Developments Resources For Patients 2 or 3</v>
      </c>
      <c r="W19" s="219" t="str">
        <f>VLOOKUP(V19,'ATP - RSAs'!$N:$N,1,FALSE)</f>
        <v>Unbranded Treatment Unbranded DLBCL Developments Resources For Patients 2 or 3</v>
      </c>
      <c r="X19" s="218" t="s">
        <v>53</v>
      </c>
      <c r="Y19" s="218" t="str">
        <f>IFERROR(VLOOKUP(X19,'ATP - RSAs'!$C:$C,1,FALSE),"#N/A")</f>
        <v>Financial Assistance Options</v>
      </c>
      <c r="Z19" s="219" t="s">
        <v>51</v>
      </c>
      <c r="AA19" s="219" t="str">
        <f>IFERROR(VLOOKUP(Z19,'ATP - RSAs'!$E:$E,1,FALSE),"#N/A")</f>
        <v>2 or 3</v>
      </c>
      <c r="AB19" s="219" t="str">
        <f t="shared" si="4"/>
        <v>Unbranded Treatment Unbranded DLBCL Developments Financial Assistance Options 2 or 3</v>
      </c>
      <c r="AC19" s="219" t="str">
        <f>VLOOKUP(AB19,'ATP - RSAs'!$N:$N,1,FALSE)</f>
        <v>Unbranded Treatment Unbranded DLBCL Developments Financial Assistance Options 2 or 3</v>
      </c>
      <c r="AD19" s="218" t="s">
        <v>54</v>
      </c>
      <c r="AE19" s="218" t="str">
        <f>IFERROR(VLOOKUP(AD19,'ATP - RSAs'!$C:$C,1,FALSE),"#N/A")</f>
        <v>Important Safety Information</v>
      </c>
      <c r="AF19" s="219" t="s">
        <v>51</v>
      </c>
      <c r="AG19" s="219" t="str">
        <f>IFERROR(VLOOKUP(AF19,'ATP - RSAs'!$E:$E,1,FALSE),"#N/A")</f>
        <v>2 or 3</v>
      </c>
      <c r="AH19" s="219" t="str">
        <f t="shared" si="5"/>
        <v>Unbranded Treatment Unbranded DLBCL Developments Important Safety Information 2 or 3</v>
      </c>
      <c r="AI19" s="219" t="str">
        <f>VLOOKUP(AH19,'ATP - RSAs'!$N:$N,1,FALSE)</f>
        <v>Unbranded Treatment Unbranded DLBCL Developments Important Safety Information 2 or 3</v>
      </c>
      <c r="AJ19" s="218" t="s">
        <v>55</v>
      </c>
      <c r="AK19" s="218" t="str">
        <f>IFERROR(VLOOKUP(AJ19,'ATP - RSAs'!$C:$C,1,FALSE),"#N/A")</f>
        <v>Questions To Ask Your Doctor</v>
      </c>
      <c r="AL19" s="219" t="s">
        <v>51</v>
      </c>
      <c r="AM19" s="219" t="str">
        <f>IFERROR(VLOOKUP(AL19,'ATP - RSAs'!$E:$E,1,FALSE),"#N/A")</f>
        <v>2 or 3</v>
      </c>
      <c r="AN19" s="219" t="str">
        <f t="shared" si="6"/>
        <v>Unbranded Treatment Unbranded DLBCL Developments Questions To Ask Your Doctor 2 or 3</v>
      </c>
      <c r="AO19" s="219" t="str">
        <f>VLOOKUP(AN19,'ATP - RSAs'!$N:$N,1,FALSE)</f>
        <v>Unbranded Treatment Unbranded DLBCL Developments Questions To Ask Your Doctor 2 or 3</v>
      </c>
      <c r="AP19" s="218" t="s">
        <v>56</v>
      </c>
      <c r="AQ19" s="218" t="str">
        <f>IFERROR(VLOOKUP(AP19,'ATP - RSAs'!$C:$C,1,FALSE),"#N/A")</f>
        <v>DLBCL Infusion Therapy</v>
      </c>
      <c r="AR19" s="219" t="s">
        <v>51</v>
      </c>
      <c r="AS19" s="219" t="str">
        <f>IFERROR(VLOOKUP(AR19,'ATP - RSAs'!$E:$E,1,FALSE),"#N/A")</f>
        <v>2 or 3</v>
      </c>
      <c r="AT19" s="219" t="str">
        <f t="shared" si="7"/>
        <v>Unbranded Treatment Unbranded DLBCL Developments DLBCL Infusion Therapy 2 or 3</v>
      </c>
      <c r="AU19" s="219" t="str">
        <f>VLOOKUP(AT19,'ATP - RSAs'!$N:$N,1,FALSE)</f>
        <v>Unbranded Treatment Unbranded DLBCL Developments DLBCL Infusion Therapy 2 or 3</v>
      </c>
      <c r="AV19" s="218" t="s">
        <v>57</v>
      </c>
      <c r="AW19" s="218" t="str">
        <f>IFERROR(VLOOKUP(AV19,'ATP - RSAs'!$C:$C,1,FALSE),"#N/A")</f>
        <v>Clinical Trial Results</v>
      </c>
      <c r="AX19" s="219" t="s">
        <v>51</v>
      </c>
      <c r="AY19" s="219" t="str">
        <f>IFERROR(VLOOKUP(AX19,'ATP - RSAs'!$E:$E,1,FALSE),"#N/A")</f>
        <v>2 or 3</v>
      </c>
      <c r="AZ19" s="219" t="str">
        <f t="shared" si="8"/>
        <v>Unbranded Treatment Unbranded DLBCL Developments Clinical Trial Results 2 or 3</v>
      </c>
      <c r="BA19" s="219" t="str">
        <f>VLOOKUP(AZ19,'ATP - RSAs'!$N:$N,1,FALSE)</f>
        <v>Unbranded Treatment Unbranded DLBCL Developments Clinical Trial Results 2 or 3</v>
      </c>
      <c r="BB19" s="218" t="s">
        <v>58</v>
      </c>
      <c r="BC19" s="218" t="str">
        <f>IFERROR(VLOOKUP(BB19,'ATP - RSAs'!$C:$C,1,FALSE),"#N/A")</f>
        <v>Information For Patients</v>
      </c>
      <c r="BD19" s="219" t="s">
        <v>51</v>
      </c>
      <c r="BE19" s="219" t="str">
        <f>IFERROR(VLOOKUP(BD19,'ATP - RSAs'!$E:$E,1,FALSE),"#N/A")</f>
        <v>2 or 3</v>
      </c>
      <c r="BF19" s="219" t="str">
        <f t="shared" si="9"/>
        <v>Unbranded Treatment Unbranded DLBCL Developments Information For Patients 2 or 3</v>
      </c>
      <c r="BG19" s="219" t="str">
        <f>VLOOKUP(BF19,'ATP - RSAs'!$N:$N,1,FALSE)</f>
        <v>Unbranded Treatment Unbranded DLBCL Developments Information For Patients 2 or 3</v>
      </c>
      <c r="BH19" s="218" t="s">
        <v>59</v>
      </c>
      <c r="BI19" s="218" t="str">
        <f>IFERROR(VLOOKUP(BH19,'ATP - RSAs'!$C:$C,1,FALSE),"#N/A")</f>
        <v>Efficacy &amp; Safety Information</v>
      </c>
      <c r="BJ19" s="219" t="s">
        <v>51</v>
      </c>
      <c r="BK19" s="219" t="str">
        <f>IFERROR(VLOOKUP(BJ19,'ATP - RSAs'!$E:$E,1,FALSE),"#N/A")</f>
        <v>2 or 3</v>
      </c>
      <c r="BL19" s="219" t="str">
        <f t="shared" si="10"/>
        <v>Unbranded Treatment Unbranded DLBCL Developments Efficacy &amp; Safety Information 2 or 3</v>
      </c>
      <c r="BM19" s="219" t="str">
        <f>VLOOKUP(BL19,'ATP - RSAs'!$N:$N,1,FALSE)</f>
        <v>Unbranded Treatment Unbranded DLBCL Developments Efficacy &amp; Safety Information 2 or 3</v>
      </c>
      <c r="BN19" s="218" t="s">
        <v>72</v>
      </c>
      <c r="BO19" s="218" t="str">
        <f>IFERROR(VLOOKUP(BN19,'ATP - RSAs'!$C:$C,1,FALSE),"#N/A")</f>
        <v>Diffuse Large B-Cell Lymphoma</v>
      </c>
      <c r="BP19" s="219" t="s">
        <v>51</v>
      </c>
      <c r="BQ19" s="219" t="str">
        <f>IFERROR(VLOOKUP(BP19,'ATP - RSAs'!$E:$E,1,FALSE),"#N/A")</f>
        <v>2 or 3</v>
      </c>
      <c r="BR19" s="219" t="str">
        <f t="shared" si="11"/>
        <v>Unbranded Treatment Unbranded DLBCL Developments Diffuse Large B-Cell Lymphoma 2 or 3</v>
      </c>
      <c r="BS19" s="219" t="str">
        <f>VLOOKUP(BR19,'ATP - RSAs'!$N:$N,1,FALSE)</f>
        <v>Unbranded Treatment Unbranded DLBCL Developments Diffuse Large B-Cell Lymphoma 2 or 3</v>
      </c>
      <c r="BT19" s="218" t="s">
        <v>73</v>
      </c>
      <c r="BU19" s="218" t="str">
        <f>IFERROR(VLOOKUP(BT19,'ATP - RSAs'!$C:$C,1,FALSE),"#N/A")</f>
        <v>DLBCL Clinical Study Data</v>
      </c>
      <c r="BV19" s="219" t="s">
        <v>51</v>
      </c>
      <c r="BW19" s="219" t="str">
        <f>IFERROR(VLOOKUP(BV19,'ATP - RSAs'!$E:$E,1,FALSE),"#N/A")</f>
        <v>2 or 3</v>
      </c>
      <c r="BX19" s="219" t="str">
        <f t="shared" si="12"/>
        <v>Unbranded Treatment Unbranded DLBCL Developments DLBCL Clinical Study Data 2 or 3</v>
      </c>
      <c r="BY19" s="219" t="str">
        <f>VLOOKUP(BX19,'ATP - RSAs'!$N:$N,1,FALSE)</f>
        <v>Unbranded Treatment Unbranded DLBCL Developments DLBCL Clinical Study Data 2 or 3</v>
      </c>
      <c r="BZ19" s="218" t="s">
        <v>60</v>
      </c>
      <c r="CA19" s="218" t="str">
        <f>IFERROR(VLOOKUP(BZ19,'ATP - RSAs'!$C:$C,1,FALSE),"#N/A")</f>
        <v>About DLBCL</v>
      </c>
      <c r="CB19" s="219" t="s">
        <v>51</v>
      </c>
      <c r="CC19" s="219" t="str">
        <f>IFERROR(VLOOKUP(CB19,'ATP - RSAs'!$E:$E,1,FALSE),"#N/A")</f>
        <v>2 or 3</v>
      </c>
      <c r="CD19" s="219" t="str">
        <f t="shared" si="13"/>
        <v>Unbranded Treatment Unbranded DLBCL Developments About DLBCL 2 or 3</v>
      </c>
      <c r="CE19" s="219" t="str">
        <f>VLOOKUP(CD19,'ATP - RSAs'!$N:$N,1,FALSE)</f>
        <v>Unbranded Treatment Unbranded DLBCL Developments About DLBCL 2 or 3</v>
      </c>
      <c r="CF19" s="218" t="s">
        <v>63</v>
      </c>
      <c r="CG19" s="218" t="str">
        <f>IFERROR(VLOOKUP(CF19,'ATP - RSAs'!$F:$F,1,FALSE),"#N/A")</f>
        <v>Discover A Fixed-Duration Treatment Option For 3L+ DLBCL And View Important Safety Info.</v>
      </c>
      <c r="CH19" s="219" t="s">
        <v>64</v>
      </c>
      <c r="CI19" s="219" t="str">
        <f>IFERROR(VLOOKUP(CH19,'ATP - RSAs'!$H:$H,1,FALSE),"#N/A")</f>
        <v>Any</v>
      </c>
      <c r="CJ19" s="219" t="str">
        <f t="shared" si="14"/>
        <v>Discover A Fixed-Duration Treatment Option For 3L+ DLBCL And View Important Safety Info. Any</v>
      </c>
      <c r="CK19" s="219" t="str">
        <f>VLOOKUP(CJ19,'ATP - RSAs'!$O:$O,1,FALSE)</f>
        <v>Discover A Fixed-Duration Treatment Option For 3L+ DLBCL And View Important Safety Info. Any</v>
      </c>
      <c r="CL19" s="218" t="s">
        <v>65</v>
      </c>
      <c r="CM19" s="218" t="str">
        <f>IFERROR(VLOOKUP(CL19,'ATP - RSAs'!$F:$F,1,FALSE),"#N/A")</f>
        <v>Download The Patient Brochure To Learn More About A DLBCL Fixed-Duration Treatment.</v>
      </c>
      <c r="CN19" s="219" t="s">
        <v>64</v>
      </c>
      <c r="CO19" s="219" t="str">
        <f>IFERROR(VLOOKUP(CN19,'ATP - RSAs'!$H:$H,1,FALSE),"#N/A")</f>
        <v>Any</v>
      </c>
      <c r="CP19" s="219" t="str">
        <f t="shared" si="15"/>
        <v>Download The Patient Brochure To Learn More About A DLBCL Fixed-Duration Treatment. Any</v>
      </c>
      <c r="CQ19" s="219" t="str">
        <f>VLOOKUP(CP19,'ATP - RSAs'!$O:$O,1,FALSE)</f>
        <v>Download The Patient Brochure To Learn More About A DLBCL Fixed-Duration Treatment. Any</v>
      </c>
      <c r="CR19" s="218" t="s">
        <v>66</v>
      </c>
      <c r="CS19" s="218" t="str">
        <f>IFERROR(VLOOKUP(CR19,'ATP - RSAs'!$F:$F,1,FALSE),"#N/A")</f>
        <v>Explore An Infusion Option For Diffuse Large B Cell Lymphoma &amp; View Clinical Results.</v>
      </c>
      <c r="CT19" s="219" t="s">
        <v>64</v>
      </c>
      <c r="CU19" s="219" t="str">
        <f>IFERROR(VLOOKUP(CT19,'ATP - RSAs'!$H:$H,1,FALSE),"#N/A")</f>
        <v>Any</v>
      </c>
      <c r="CV19" s="219" t="str">
        <f t="shared" si="16"/>
        <v>Explore An Infusion Option For Diffuse Large B Cell Lymphoma &amp; View Clinical Results. Any</v>
      </c>
      <c r="CW19" s="219" t="str">
        <f>VLOOKUP(CV19,'ATP - RSAs'!$O:$O,1,FALSE)</f>
        <v>Explore An Infusion Option For Diffuse Large B Cell Lymphoma &amp; View Clinical Results. Any</v>
      </c>
      <c r="CX19" s="218" t="s">
        <v>74</v>
      </c>
      <c r="CY19" s="218" t="str">
        <f>IFERROR(VLOOKUP(CX19,'ATP - RSAs'!$F:$F,1,FALSE),"#N/A")</f>
        <v>Learn More About Starting Treatment For 3L+ DLBCL After Two Or More Prior Therapies.</v>
      </c>
      <c r="CZ19" s="219" t="s">
        <v>64</v>
      </c>
      <c r="DA19" s="219" t="str">
        <f>IFERROR(VLOOKUP(CZ19,'ATP - RSAs'!$H:$H,1,FALSE),"#N/A")</f>
        <v>Any</v>
      </c>
      <c r="DB19" s="219" t="str">
        <f t="shared" si="17"/>
        <v>Learn More About Starting Treatment For 3L+ DLBCL After Two Or More Prior Therapies. Any</v>
      </c>
      <c r="DC19" s="219" t="str">
        <f>VLOOKUP(DB19,'ATP - RSAs'!$O:$O,1,FALSE)</f>
        <v>Learn More About Starting Treatment For 3L+ DLBCL After Two Or More Prior Therapies. Any</v>
      </c>
      <c r="DD19" s="218" t="s">
        <v>68</v>
      </c>
      <c r="DE19" s="2" t="s">
        <v>96</v>
      </c>
    </row>
    <row r="20" spans="1:109" ht="14.4" x14ac:dyDescent="0.3">
      <c r="A20" s="4" t="s">
        <v>92</v>
      </c>
      <c r="B20" s="4" t="str">
        <f>IFERROR(VLOOKUP(A20,'ATP - RSAs'!$A:$A,1,FALSE),"#N/A")</f>
        <v>Unbranded Treatment</v>
      </c>
      <c r="C20" s="218" t="s">
        <v>98</v>
      </c>
      <c r="D20" s="218" t="str">
        <f>IFERROR(VLOOKUP(C20,'ATP - RSAs'!$B:$B,1,FALSE),"#N/A")</f>
        <v>Unbranded DLBCL Treatment</v>
      </c>
      <c r="E20" s="218" t="str">
        <f t="shared" si="0"/>
        <v>Unbranded Treatment Unbranded DLBCL Treatment</v>
      </c>
      <c r="F20" s="218" t="s">
        <v>49</v>
      </c>
      <c r="G20" s="218" t="str">
        <f>IFERROR(VLOOKUP(F20,'ATP - RSAs'!$C:$C,1,FALSE),"#N/A")</f>
        <v>Treatment Option For 3L+ DLBCL</v>
      </c>
      <c r="H20" s="219">
        <v>1</v>
      </c>
      <c r="I20" s="219">
        <f>IFERROR(VLOOKUP(H20,'ATP - RSAs'!$E:$E,1,FALSE),"#N/A")</f>
        <v>1</v>
      </c>
      <c r="J20" s="219" t="str">
        <f t="shared" si="1"/>
        <v>Unbranded Treatment Unbranded DLBCL Treatment Treatment Option For 3L+ DLBCL 1</v>
      </c>
      <c r="K20" s="219" t="str">
        <f>VLOOKUP(J20,'ATP - RSAs'!$N:$N,1,FALSE)</f>
        <v>Unbranded Treatment Unbranded DLBCL Treatment Treatment Option For 3L+ DLBCL 1</v>
      </c>
      <c r="L20" s="218" t="s">
        <v>50</v>
      </c>
      <c r="M20" s="218" t="str">
        <f>IFERROR(VLOOKUP(L20,'ATP - RSAs'!$C:$C,1,FALSE),"#N/A")</f>
        <v>Download The Patient Brochure</v>
      </c>
      <c r="N20" s="219" t="s">
        <v>51</v>
      </c>
      <c r="O20" s="219" t="str">
        <f>IFERROR(VLOOKUP(N20,'ATP - RSAs'!$E:$E,1,FALSE),"#N/A")</f>
        <v>2 or 3</v>
      </c>
      <c r="P20" s="219" t="str">
        <f t="shared" si="2"/>
        <v>Unbranded Treatment Unbranded DLBCL Treatment Download The Patient Brochure 2 or 3</v>
      </c>
      <c r="Q20" s="219" t="str">
        <f>VLOOKUP(P20,'ATP - RSAs'!$N:$N,1,FALSE)</f>
        <v>Unbranded Treatment Unbranded DLBCL Treatment Download The Patient Brochure 2 or 3</v>
      </c>
      <c r="R20" s="218" t="s">
        <v>52</v>
      </c>
      <c r="S20" s="218" t="str">
        <f>IFERROR(VLOOKUP(R20,'ATP - RSAs'!$C:$C,1,FALSE),"#N/A")</f>
        <v>Resources For Patients</v>
      </c>
      <c r="T20" s="219" t="s">
        <v>51</v>
      </c>
      <c r="U20" s="219" t="str">
        <f>IFERROR(VLOOKUP(T20,'ATP - RSAs'!$E:$E,1,FALSE),"#N/A")</f>
        <v>2 or 3</v>
      </c>
      <c r="V20" s="219" t="str">
        <f t="shared" si="3"/>
        <v>Unbranded Treatment Unbranded DLBCL Treatment Resources For Patients 2 or 3</v>
      </c>
      <c r="W20" s="219" t="str">
        <f>VLOOKUP(V20,'ATP - RSAs'!$N:$N,1,FALSE)</f>
        <v>Unbranded Treatment Unbranded DLBCL Treatment Resources For Patients 2 or 3</v>
      </c>
      <c r="X20" s="218" t="s">
        <v>53</v>
      </c>
      <c r="Y20" s="218" t="str">
        <f>IFERROR(VLOOKUP(X20,'ATP - RSAs'!$C:$C,1,FALSE),"#N/A")</f>
        <v>Financial Assistance Options</v>
      </c>
      <c r="Z20" s="219" t="s">
        <v>51</v>
      </c>
      <c r="AA20" s="219" t="str">
        <f>IFERROR(VLOOKUP(Z20,'ATP - RSAs'!$E:$E,1,FALSE),"#N/A")</f>
        <v>2 or 3</v>
      </c>
      <c r="AB20" s="219" t="str">
        <f t="shared" si="4"/>
        <v>Unbranded Treatment Unbranded DLBCL Treatment Financial Assistance Options 2 or 3</v>
      </c>
      <c r="AC20" s="219" t="str">
        <f>VLOOKUP(AB20,'ATP - RSAs'!$N:$N,1,FALSE)</f>
        <v>Unbranded Treatment Unbranded DLBCL Treatment Financial Assistance Options 2 or 3</v>
      </c>
      <c r="AD20" s="218" t="s">
        <v>54</v>
      </c>
      <c r="AE20" s="218" t="str">
        <f>IFERROR(VLOOKUP(AD20,'ATP - RSAs'!$C:$C,1,FALSE),"#N/A")</f>
        <v>Important Safety Information</v>
      </c>
      <c r="AF20" s="219" t="s">
        <v>51</v>
      </c>
      <c r="AG20" s="219" t="str">
        <f>IFERROR(VLOOKUP(AF20,'ATP - RSAs'!$E:$E,1,FALSE),"#N/A")</f>
        <v>2 or 3</v>
      </c>
      <c r="AH20" s="219" t="str">
        <f t="shared" si="5"/>
        <v>Unbranded Treatment Unbranded DLBCL Treatment Important Safety Information 2 or 3</v>
      </c>
      <c r="AI20" s="219" t="str">
        <f>VLOOKUP(AH20,'ATP - RSAs'!$N:$N,1,FALSE)</f>
        <v>Unbranded Treatment Unbranded DLBCL Treatment Important Safety Information 2 or 3</v>
      </c>
      <c r="AJ20" s="218" t="s">
        <v>55</v>
      </c>
      <c r="AK20" s="218" t="str">
        <f>IFERROR(VLOOKUP(AJ20,'ATP - RSAs'!$C:$C,1,FALSE),"#N/A")</f>
        <v>Questions To Ask Your Doctor</v>
      </c>
      <c r="AL20" s="219" t="s">
        <v>51</v>
      </c>
      <c r="AM20" s="219" t="str">
        <f>IFERROR(VLOOKUP(AL20,'ATP - RSAs'!$E:$E,1,FALSE),"#N/A")</f>
        <v>2 or 3</v>
      </c>
      <c r="AN20" s="219" t="str">
        <f t="shared" si="6"/>
        <v>Unbranded Treatment Unbranded DLBCL Treatment Questions To Ask Your Doctor 2 or 3</v>
      </c>
      <c r="AO20" s="219" t="str">
        <f>VLOOKUP(AN20,'ATP - RSAs'!$N:$N,1,FALSE)</f>
        <v>Unbranded Treatment Unbranded DLBCL Treatment Questions To Ask Your Doctor 2 or 3</v>
      </c>
      <c r="AP20" s="218" t="s">
        <v>56</v>
      </c>
      <c r="AQ20" s="218" t="str">
        <f>IFERROR(VLOOKUP(AP20,'ATP - RSAs'!$C:$C,1,FALSE),"#N/A")</f>
        <v>DLBCL Infusion Therapy</v>
      </c>
      <c r="AR20" s="219" t="s">
        <v>51</v>
      </c>
      <c r="AS20" s="219" t="str">
        <f>IFERROR(VLOOKUP(AR20,'ATP - RSAs'!$E:$E,1,FALSE),"#N/A")</f>
        <v>2 or 3</v>
      </c>
      <c r="AT20" s="219" t="str">
        <f t="shared" si="7"/>
        <v>Unbranded Treatment Unbranded DLBCL Treatment DLBCL Infusion Therapy 2 or 3</v>
      </c>
      <c r="AU20" s="219" t="str">
        <f>VLOOKUP(AT20,'ATP - RSAs'!$N:$N,1,FALSE)</f>
        <v>Unbranded Treatment Unbranded DLBCL Treatment DLBCL Infusion Therapy 2 or 3</v>
      </c>
      <c r="AV20" s="218" t="s">
        <v>57</v>
      </c>
      <c r="AW20" s="218" t="str">
        <f>IFERROR(VLOOKUP(AV20,'ATP - RSAs'!$C:$C,1,FALSE),"#N/A")</f>
        <v>Clinical Trial Results</v>
      </c>
      <c r="AX20" s="219" t="s">
        <v>51</v>
      </c>
      <c r="AY20" s="219" t="str">
        <f>IFERROR(VLOOKUP(AX20,'ATP - RSAs'!$E:$E,1,FALSE),"#N/A")</f>
        <v>2 or 3</v>
      </c>
      <c r="AZ20" s="219" t="str">
        <f t="shared" si="8"/>
        <v>Unbranded Treatment Unbranded DLBCL Treatment Clinical Trial Results 2 or 3</v>
      </c>
      <c r="BA20" s="219" t="str">
        <f>VLOOKUP(AZ20,'ATP - RSAs'!$N:$N,1,FALSE)</f>
        <v>Unbranded Treatment Unbranded DLBCL Treatment Clinical Trial Results 2 or 3</v>
      </c>
      <c r="BB20" s="218" t="s">
        <v>58</v>
      </c>
      <c r="BC20" s="218" t="str">
        <f>IFERROR(VLOOKUP(BB20,'ATP - RSAs'!$C:$C,1,FALSE),"#N/A")</f>
        <v>Information For Patients</v>
      </c>
      <c r="BD20" s="219" t="s">
        <v>51</v>
      </c>
      <c r="BE20" s="219" t="str">
        <f>IFERROR(VLOOKUP(BD20,'ATP - RSAs'!$E:$E,1,FALSE),"#N/A")</f>
        <v>2 or 3</v>
      </c>
      <c r="BF20" s="219" t="str">
        <f t="shared" si="9"/>
        <v>Unbranded Treatment Unbranded DLBCL Treatment Information For Patients 2 or 3</v>
      </c>
      <c r="BG20" s="219" t="str">
        <f>VLOOKUP(BF20,'ATP - RSAs'!$N:$N,1,FALSE)</f>
        <v>Unbranded Treatment Unbranded DLBCL Treatment Information For Patients 2 or 3</v>
      </c>
      <c r="BH20" s="218" t="s">
        <v>59</v>
      </c>
      <c r="BI20" s="218" t="str">
        <f>IFERROR(VLOOKUP(BH20,'ATP - RSAs'!$C:$C,1,FALSE),"#N/A")</f>
        <v>Efficacy &amp; Safety Information</v>
      </c>
      <c r="BJ20" s="219" t="s">
        <v>51</v>
      </c>
      <c r="BK20" s="219" t="str">
        <f>IFERROR(VLOOKUP(BJ20,'ATP - RSAs'!$E:$E,1,FALSE),"#N/A")</f>
        <v>2 or 3</v>
      </c>
      <c r="BL20" s="219" t="str">
        <f t="shared" si="10"/>
        <v>Unbranded Treatment Unbranded DLBCL Treatment Efficacy &amp; Safety Information 2 or 3</v>
      </c>
      <c r="BM20" s="219" t="str">
        <f>VLOOKUP(BL20,'ATP - RSAs'!$N:$N,1,FALSE)</f>
        <v>Unbranded Treatment Unbranded DLBCL Treatment Efficacy &amp; Safety Information 2 or 3</v>
      </c>
      <c r="BN20" s="218" t="s">
        <v>99</v>
      </c>
      <c r="BO20" s="218" t="str">
        <f>IFERROR(VLOOKUP(BN20,'ATP - RSAs'!$C:$C,1,FALSE),"#N/A")</f>
        <v>DLBCL Symptoms</v>
      </c>
      <c r="BP20" s="219" t="s">
        <v>51</v>
      </c>
      <c r="BQ20" s="219" t="str">
        <f>IFERROR(VLOOKUP(BP20,'ATP - RSAs'!$E:$E,1,FALSE),"#N/A")</f>
        <v>2 or 3</v>
      </c>
      <c r="BR20" s="219" t="str">
        <f t="shared" si="11"/>
        <v>Unbranded Treatment Unbranded DLBCL Treatment DLBCL Symptoms 2 or 3</v>
      </c>
      <c r="BS20" s="219" t="str">
        <f>VLOOKUP(BR20,'ATP - RSAs'!$N:$N,1,FALSE)</f>
        <v>Unbranded Treatment Unbranded DLBCL Treatment DLBCL Symptoms 2 or 3</v>
      </c>
      <c r="BT20" s="218" t="s">
        <v>100</v>
      </c>
      <c r="BU20" s="218" t="str">
        <f>IFERROR(VLOOKUP(BT20,'ATP - RSAs'!$C:$C,1,FALSE),"#N/A")</f>
        <v>3L+ DLBCL Treatment Option</v>
      </c>
      <c r="BV20" s="219" t="s">
        <v>51</v>
      </c>
      <c r="BW20" s="219" t="str">
        <f>IFERROR(VLOOKUP(BV20,'ATP - RSAs'!$E:$E,1,FALSE),"#N/A")</f>
        <v>2 or 3</v>
      </c>
      <c r="BX20" s="219" t="str">
        <f t="shared" si="12"/>
        <v>Unbranded Treatment Unbranded DLBCL Treatment 3L+ DLBCL Treatment Option 2 or 3</v>
      </c>
      <c r="BY20" s="219" t="str">
        <f>VLOOKUP(BX20,'ATP - RSAs'!$N:$N,1,FALSE)</f>
        <v>Unbranded Treatment Unbranded DLBCL Treatment 3L+ DLBCL Treatment Option 2 or 3</v>
      </c>
      <c r="BZ20" s="218" t="s">
        <v>72</v>
      </c>
      <c r="CA20" s="218" t="str">
        <f>IFERROR(VLOOKUP(BZ20,'ATP - RSAs'!$C:$C,1,FALSE),"#N/A")</f>
        <v>Diffuse Large B-Cell Lymphoma</v>
      </c>
      <c r="CB20" s="219" t="s">
        <v>51</v>
      </c>
      <c r="CC20" s="219" t="str">
        <f>IFERROR(VLOOKUP(CB20,'ATP - RSAs'!$E:$E,1,FALSE),"#N/A")</f>
        <v>2 or 3</v>
      </c>
      <c r="CD20" s="219" t="str">
        <f t="shared" si="13"/>
        <v>Unbranded Treatment Unbranded DLBCL Treatment Diffuse Large B-Cell Lymphoma 2 or 3</v>
      </c>
      <c r="CE20" s="219" t="str">
        <f>VLOOKUP(CD20,'ATP - RSAs'!$N:$N,1,FALSE)</f>
        <v>Unbranded Treatment Unbranded DLBCL Treatment Diffuse Large B-Cell Lymphoma 2 or 3</v>
      </c>
      <c r="CF20" s="218" t="s">
        <v>63</v>
      </c>
      <c r="CG20" s="218" t="str">
        <f>IFERROR(VLOOKUP(CF20,'ATP - RSAs'!$F:$F,1,FALSE),"#N/A")</f>
        <v>Discover A Fixed-Duration Treatment Option For 3L+ DLBCL And View Important Safety Info.</v>
      </c>
      <c r="CH20" s="219" t="s">
        <v>64</v>
      </c>
      <c r="CI20" s="219" t="str">
        <f>IFERROR(VLOOKUP(CH20,'ATP - RSAs'!$H:$H,1,FALSE),"#N/A")</f>
        <v>Any</v>
      </c>
      <c r="CJ20" s="219" t="str">
        <f t="shared" si="14"/>
        <v>Discover A Fixed-Duration Treatment Option For 3L+ DLBCL And View Important Safety Info. Any</v>
      </c>
      <c r="CK20" s="219" t="str">
        <f>VLOOKUP(CJ20,'ATP - RSAs'!$O:$O,1,FALSE)</f>
        <v>Discover A Fixed-Duration Treatment Option For 3L+ DLBCL And View Important Safety Info. Any</v>
      </c>
      <c r="CL20" s="218" t="s">
        <v>65</v>
      </c>
      <c r="CM20" s="218" t="str">
        <f>IFERROR(VLOOKUP(CL20,'ATP - RSAs'!$F:$F,1,FALSE),"#N/A")</f>
        <v>Download The Patient Brochure To Learn More About A DLBCL Fixed-Duration Treatment.</v>
      </c>
      <c r="CN20" s="219" t="s">
        <v>64</v>
      </c>
      <c r="CO20" s="219" t="str">
        <f>IFERROR(VLOOKUP(CN20,'ATP - RSAs'!$H:$H,1,FALSE),"#N/A")</f>
        <v>Any</v>
      </c>
      <c r="CP20" s="219" t="str">
        <f t="shared" si="15"/>
        <v>Download The Patient Brochure To Learn More About A DLBCL Fixed-Duration Treatment. Any</v>
      </c>
      <c r="CQ20" s="219" t="str">
        <f>VLOOKUP(CP20,'ATP - RSAs'!$O:$O,1,FALSE)</f>
        <v>Download The Patient Brochure To Learn More About A DLBCL Fixed-Duration Treatment. Any</v>
      </c>
      <c r="CR20" s="218" t="s">
        <v>66</v>
      </c>
      <c r="CS20" s="218" t="str">
        <f>IFERROR(VLOOKUP(CR20,'ATP - RSAs'!$F:$F,1,FALSE),"#N/A")</f>
        <v>Explore An Infusion Option For Diffuse Large B Cell Lymphoma &amp; View Clinical Results.</v>
      </c>
      <c r="CT20" s="219" t="s">
        <v>64</v>
      </c>
      <c r="CU20" s="219" t="str">
        <f>IFERROR(VLOOKUP(CT20,'ATP - RSAs'!$H:$H,1,FALSE),"#N/A")</f>
        <v>Any</v>
      </c>
      <c r="CV20" s="219" t="str">
        <f t="shared" si="16"/>
        <v>Explore An Infusion Option For Diffuse Large B Cell Lymphoma &amp; View Clinical Results. Any</v>
      </c>
      <c r="CW20" s="219" t="str">
        <f>VLOOKUP(CV20,'ATP - RSAs'!$O:$O,1,FALSE)</f>
        <v>Explore An Infusion Option For Diffuse Large B Cell Lymphoma &amp; View Clinical Results. Any</v>
      </c>
      <c r="CX20" s="218" t="s">
        <v>74</v>
      </c>
      <c r="CY20" s="218" t="str">
        <f>IFERROR(VLOOKUP(CX20,'ATP - RSAs'!$F:$F,1,FALSE),"#N/A")</f>
        <v>Learn More About Starting Treatment For 3L+ DLBCL After Two Or More Prior Therapies.</v>
      </c>
      <c r="CZ20" s="219" t="s">
        <v>64</v>
      </c>
      <c r="DA20" s="219" t="str">
        <f>IFERROR(VLOOKUP(CZ20,'ATP - RSAs'!$H:$H,1,FALSE),"#N/A")</f>
        <v>Any</v>
      </c>
      <c r="DB20" s="219" t="str">
        <f t="shared" si="17"/>
        <v>Learn More About Starting Treatment For 3L+ DLBCL After Two Or More Prior Therapies. Any</v>
      </c>
      <c r="DC20" s="219" t="str">
        <f>VLOOKUP(DB20,'ATP - RSAs'!$O:$O,1,FALSE)</f>
        <v>Learn More About Starting Treatment For 3L+ DLBCL After Two Or More Prior Therapies. Any</v>
      </c>
      <c r="DD20" s="218" t="s">
        <v>68</v>
      </c>
      <c r="DE20" s="2" t="s">
        <v>101</v>
      </c>
    </row>
    <row r="21" spans="1:109" ht="15.75" customHeight="1" x14ac:dyDescent="0.3">
      <c r="A21" s="4" t="s">
        <v>92</v>
      </c>
      <c r="B21" s="4" t="str">
        <f>IFERROR(VLOOKUP(A21,'ATP - RSAs'!$A:$A,1,FALSE),"#N/A")</f>
        <v>Unbranded Treatment</v>
      </c>
      <c r="C21" s="218" t="s">
        <v>103</v>
      </c>
      <c r="D21" s="218" t="str">
        <f>IFERROR(VLOOKUP(C21,'ATP - RSAs'!$B:$B,1,FALSE),"#N/A")</f>
        <v>Unbranded DLBCL Medication</v>
      </c>
      <c r="E21" s="218" t="str">
        <f t="shared" si="0"/>
        <v>Unbranded Treatment Unbranded DLBCL Medication</v>
      </c>
      <c r="F21" s="218" t="s">
        <v>104</v>
      </c>
      <c r="G21" s="218" t="str">
        <f>IFERROR(VLOOKUP(F21,'ATP - RSAs'!$C:$C,1,FALSE),"#N/A")</f>
        <v>Medication For 3L+ DLBCL</v>
      </c>
      <c r="H21" s="219">
        <v>1</v>
      </c>
      <c r="I21" s="219">
        <f>IFERROR(VLOOKUP(H21,'ATP - RSAs'!$E:$E,1,FALSE),"#N/A")</f>
        <v>1</v>
      </c>
      <c r="J21" s="219" t="str">
        <f t="shared" si="1"/>
        <v>Unbranded Treatment Unbranded DLBCL Medication Medication For 3L+ DLBCL 1</v>
      </c>
      <c r="K21" s="219" t="str">
        <f>VLOOKUP(J21,'ATP - RSAs'!$N:$N,1,FALSE)</f>
        <v>Unbranded Treatment Unbranded DLBCL Medication Medication For 3L+ DLBCL 1</v>
      </c>
      <c r="L21" s="218" t="s">
        <v>50</v>
      </c>
      <c r="M21" s="218" t="str">
        <f>IFERROR(VLOOKUP(L21,'ATP - RSAs'!$C:$C,1,FALSE),"#N/A")</f>
        <v>Download The Patient Brochure</v>
      </c>
      <c r="N21" s="219" t="s">
        <v>51</v>
      </c>
      <c r="O21" s="219" t="str">
        <f>IFERROR(VLOOKUP(N21,'ATP - RSAs'!$E:$E,1,FALSE),"#N/A")</f>
        <v>2 or 3</v>
      </c>
      <c r="P21" s="219" t="str">
        <f t="shared" si="2"/>
        <v>Unbranded Treatment Unbranded DLBCL Medication Download The Patient Brochure 2 or 3</v>
      </c>
      <c r="Q21" s="219" t="str">
        <f>VLOOKUP(P21,'ATP - RSAs'!$N:$N,1,FALSE)</f>
        <v>Unbranded Treatment Unbranded DLBCL Medication Download The Patient Brochure 2 or 3</v>
      </c>
      <c r="R21" s="218" t="s">
        <v>52</v>
      </c>
      <c r="S21" s="218" t="str">
        <f>IFERROR(VLOOKUP(R21,'ATP - RSAs'!$C:$C,1,FALSE),"#N/A")</f>
        <v>Resources For Patients</v>
      </c>
      <c r="T21" s="219" t="s">
        <v>51</v>
      </c>
      <c r="U21" s="219" t="str">
        <f>IFERROR(VLOOKUP(T21,'ATP - RSAs'!$E:$E,1,FALSE),"#N/A")</f>
        <v>2 or 3</v>
      </c>
      <c r="V21" s="219" t="str">
        <f t="shared" si="3"/>
        <v>Unbranded Treatment Unbranded DLBCL Medication Resources For Patients 2 or 3</v>
      </c>
      <c r="W21" s="219" t="str">
        <f>VLOOKUP(V21,'ATP - RSAs'!$N:$N,1,FALSE)</f>
        <v>Unbranded Treatment Unbranded DLBCL Medication Resources For Patients 2 or 3</v>
      </c>
      <c r="X21" s="218" t="s">
        <v>53</v>
      </c>
      <c r="Y21" s="218" t="str">
        <f>IFERROR(VLOOKUP(X21,'ATP - RSAs'!$C:$C,1,FALSE),"#N/A")</f>
        <v>Financial Assistance Options</v>
      </c>
      <c r="Z21" s="219" t="s">
        <v>51</v>
      </c>
      <c r="AA21" s="219" t="str">
        <f>IFERROR(VLOOKUP(Z21,'ATP - RSAs'!$E:$E,1,FALSE),"#N/A")</f>
        <v>2 or 3</v>
      </c>
      <c r="AB21" s="219" t="str">
        <f t="shared" si="4"/>
        <v>Unbranded Treatment Unbranded DLBCL Medication Financial Assistance Options 2 or 3</v>
      </c>
      <c r="AC21" s="219" t="str">
        <f>VLOOKUP(AB21,'ATP - RSAs'!$N:$N,1,FALSE)</f>
        <v>Unbranded Treatment Unbranded DLBCL Medication Financial Assistance Options 2 or 3</v>
      </c>
      <c r="AD21" s="218" t="s">
        <v>54</v>
      </c>
      <c r="AE21" s="218" t="str">
        <f>IFERROR(VLOOKUP(AD21,'ATP - RSAs'!$C:$C,1,FALSE),"#N/A")</f>
        <v>Important Safety Information</v>
      </c>
      <c r="AF21" s="219" t="s">
        <v>51</v>
      </c>
      <c r="AG21" s="219" t="str">
        <f>IFERROR(VLOOKUP(AF21,'ATP - RSAs'!$E:$E,1,FALSE),"#N/A")</f>
        <v>2 or 3</v>
      </c>
      <c r="AH21" s="219" t="str">
        <f t="shared" si="5"/>
        <v>Unbranded Treatment Unbranded DLBCL Medication Important Safety Information 2 or 3</v>
      </c>
      <c r="AI21" s="219" t="str">
        <f>VLOOKUP(AH21,'ATP - RSAs'!$N:$N,1,FALSE)</f>
        <v>Unbranded Treatment Unbranded DLBCL Medication Important Safety Information 2 or 3</v>
      </c>
      <c r="AJ21" s="218" t="s">
        <v>55</v>
      </c>
      <c r="AK21" s="218" t="str">
        <f>IFERROR(VLOOKUP(AJ21,'ATP - RSAs'!$C:$C,1,FALSE),"#N/A")</f>
        <v>Questions To Ask Your Doctor</v>
      </c>
      <c r="AL21" s="219" t="s">
        <v>51</v>
      </c>
      <c r="AM21" s="219" t="str">
        <f>IFERROR(VLOOKUP(AL21,'ATP - RSAs'!$E:$E,1,FALSE),"#N/A")</f>
        <v>2 or 3</v>
      </c>
      <c r="AN21" s="219" t="str">
        <f t="shared" si="6"/>
        <v>Unbranded Treatment Unbranded DLBCL Medication Questions To Ask Your Doctor 2 or 3</v>
      </c>
      <c r="AO21" s="219" t="str">
        <f>VLOOKUP(AN21,'ATP - RSAs'!$N:$N,1,FALSE)</f>
        <v>Unbranded Treatment Unbranded DLBCL Medication Questions To Ask Your Doctor 2 or 3</v>
      </c>
      <c r="AP21" s="218" t="s">
        <v>56</v>
      </c>
      <c r="AQ21" s="218" t="str">
        <f>IFERROR(VLOOKUP(AP21,'ATP - RSAs'!$C:$C,1,FALSE),"#N/A")</f>
        <v>DLBCL Infusion Therapy</v>
      </c>
      <c r="AR21" s="219" t="s">
        <v>51</v>
      </c>
      <c r="AS21" s="219" t="str">
        <f>IFERROR(VLOOKUP(AR21,'ATP - RSAs'!$E:$E,1,FALSE),"#N/A")</f>
        <v>2 or 3</v>
      </c>
      <c r="AT21" s="219" t="str">
        <f t="shared" si="7"/>
        <v>Unbranded Treatment Unbranded DLBCL Medication DLBCL Infusion Therapy 2 or 3</v>
      </c>
      <c r="AU21" s="219" t="str">
        <f>VLOOKUP(AT21,'ATP - RSAs'!$N:$N,1,FALSE)</f>
        <v>Unbranded Treatment Unbranded DLBCL Medication DLBCL Infusion Therapy 2 or 3</v>
      </c>
      <c r="AV21" s="218" t="s">
        <v>57</v>
      </c>
      <c r="AW21" s="218" t="str">
        <f>IFERROR(VLOOKUP(AV21,'ATP - RSAs'!$C:$C,1,FALSE),"#N/A")</f>
        <v>Clinical Trial Results</v>
      </c>
      <c r="AX21" s="219" t="s">
        <v>51</v>
      </c>
      <c r="AY21" s="219" t="str">
        <f>IFERROR(VLOOKUP(AX21,'ATP - RSAs'!$E:$E,1,FALSE),"#N/A")</f>
        <v>2 or 3</v>
      </c>
      <c r="AZ21" s="219" t="str">
        <f t="shared" si="8"/>
        <v>Unbranded Treatment Unbranded DLBCL Medication Clinical Trial Results 2 or 3</v>
      </c>
      <c r="BA21" s="219" t="str">
        <f>VLOOKUP(AZ21,'ATP - RSAs'!$N:$N,1,FALSE)</f>
        <v>Unbranded Treatment Unbranded DLBCL Medication Clinical Trial Results 2 or 3</v>
      </c>
      <c r="BB21" s="218" t="s">
        <v>58</v>
      </c>
      <c r="BC21" s="218" t="str">
        <f>IFERROR(VLOOKUP(BB21,'ATP - RSAs'!$C:$C,1,FALSE),"#N/A")</f>
        <v>Information For Patients</v>
      </c>
      <c r="BD21" s="219" t="s">
        <v>51</v>
      </c>
      <c r="BE21" s="219" t="str">
        <f>IFERROR(VLOOKUP(BD21,'ATP - RSAs'!$E:$E,1,FALSE),"#N/A")</f>
        <v>2 or 3</v>
      </c>
      <c r="BF21" s="219" t="str">
        <f t="shared" si="9"/>
        <v>Unbranded Treatment Unbranded DLBCL Medication Information For Patients 2 or 3</v>
      </c>
      <c r="BG21" s="219" t="str">
        <f>VLOOKUP(BF21,'ATP - RSAs'!$N:$N,1,FALSE)</f>
        <v>Unbranded Treatment Unbranded DLBCL Medication Information For Patients 2 or 3</v>
      </c>
      <c r="BH21" s="218" t="s">
        <v>59</v>
      </c>
      <c r="BI21" s="218" t="str">
        <f>IFERROR(VLOOKUP(BH21,'ATP - RSAs'!$C:$C,1,FALSE),"#N/A")</f>
        <v>Efficacy &amp; Safety Information</v>
      </c>
      <c r="BJ21" s="219" t="s">
        <v>51</v>
      </c>
      <c r="BK21" s="219" t="str">
        <f>IFERROR(VLOOKUP(BJ21,'ATP - RSAs'!$E:$E,1,FALSE),"#N/A")</f>
        <v>2 or 3</v>
      </c>
      <c r="BL21" s="219" t="str">
        <f t="shared" si="10"/>
        <v>Unbranded Treatment Unbranded DLBCL Medication Efficacy &amp; Safety Information 2 or 3</v>
      </c>
      <c r="BM21" s="219" t="str">
        <f>VLOOKUP(BL21,'ATP - RSAs'!$N:$N,1,FALSE)</f>
        <v>Unbranded Treatment Unbranded DLBCL Medication Efficacy &amp; Safety Information 2 or 3</v>
      </c>
      <c r="BN21" s="218" t="s">
        <v>105</v>
      </c>
      <c r="BO21" s="218" t="str">
        <f>IFERROR(VLOOKUP(BN21,'ATP - RSAs'!$C:$C,1,FALSE),"#N/A")</f>
        <v>DLBCL Intravenous Infusion</v>
      </c>
      <c r="BP21" s="219" t="s">
        <v>51</v>
      </c>
      <c r="BQ21" s="219" t="str">
        <f>IFERROR(VLOOKUP(BP21,'ATP - RSAs'!$E:$E,1,FALSE),"#N/A")</f>
        <v>2 or 3</v>
      </c>
      <c r="BR21" s="219" t="str">
        <f t="shared" si="11"/>
        <v>Unbranded Treatment Unbranded DLBCL Medication DLBCL Intravenous Infusion 2 or 3</v>
      </c>
      <c r="BS21" s="219" t="str">
        <f>VLOOKUP(BR21,'ATP - RSAs'!$N:$N,1,FALSE)</f>
        <v>Unbranded Treatment Unbranded DLBCL Medication DLBCL Intravenous Infusion 2 or 3</v>
      </c>
      <c r="BT21" s="218" t="s">
        <v>106</v>
      </c>
      <c r="BU21" s="218" t="str">
        <f>IFERROR(VLOOKUP(BT21,'ATP - RSAs'!$C:$C,1,FALSE),"#N/A")</f>
        <v>3L+ DLBCL Dosing Schedule Info</v>
      </c>
      <c r="BV21" s="219" t="s">
        <v>51</v>
      </c>
      <c r="BW21" s="219" t="str">
        <f>IFERROR(VLOOKUP(BV21,'ATP - RSAs'!$E:$E,1,FALSE),"#N/A")</f>
        <v>2 or 3</v>
      </c>
      <c r="BX21" s="219" t="str">
        <f t="shared" si="12"/>
        <v>Unbranded Treatment Unbranded DLBCL Medication 3L+ DLBCL Dosing Schedule Info 2 or 3</v>
      </c>
      <c r="BY21" s="219" t="str">
        <f>VLOOKUP(BX21,'ATP - RSAs'!$N:$N,1,FALSE)</f>
        <v>Unbranded Treatment Unbranded DLBCL Medication 3L+ DLBCL Dosing Schedule Info 2 or 3</v>
      </c>
      <c r="BZ21" s="218" t="s">
        <v>72</v>
      </c>
      <c r="CA21" s="218" t="str">
        <f>IFERROR(VLOOKUP(BZ21,'ATP - RSAs'!$C:$C,1,FALSE),"#N/A")</f>
        <v>Diffuse Large B-Cell Lymphoma</v>
      </c>
      <c r="CB21" s="219" t="s">
        <v>51</v>
      </c>
      <c r="CC21" s="219" t="str">
        <f>IFERROR(VLOOKUP(CB21,'ATP - RSAs'!$E:$E,1,FALSE),"#N/A")</f>
        <v>2 or 3</v>
      </c>
      <c r="CD21" s="219" t="str">
        <f t="shared" si="13"/>
        <v>Unbranded Treatment Unbranded DLBCL Medication Diffuse Large B-Cell Lymphoma 2 or 3</v>
      </c>
      <c r="CE21" s="219" t="str">
        <f>VLOOKUP(CD21,'ATP - RSAs'!$N:$N,1,FALSE)</f>
        <v>Unbranded Treatment Unbranded DLBCL Medication Diffuse Large B-Cell Lymphoma 2 or 3</v>
      </c>
      <c r="CF21" s="218" t="s">
        <v>63</v>
      </c>
      <c r="CG21" s="218" t="str">
        <f>IFERROR(VLOOKUP(CF21,'ATP - RSAs'!$F:$F,1,FALSE),"#N/A")</f>
        <v>Discover A Fixed-Duration Treatment Option For 3L+ DLBCL And View Important Safety Info.</v>
      </c>
      <c r="CH21" s="219" t="s">
        <v>64</v>
      </c>
      <c r="CI21" s="219" t="str">
        <f>IFERROR(VLOOKUP(CH21,'ATP - RSAs'!$H:$H,1,FALSE),"#N/A")</f>
        <v>Any</v>
      </c>
      <c r="CJ21" s="219" t="str">
        <f t="shared" si="14"/>
        <v>Discover A Fixed-Duration Treatment Option For 3L+ DLBCL And View Important Safety Info. Any</v>
      </c>
      <c r="CK21" s="219" t="str">
        <f>VLOOKUP(CJ21,'ATP - RSAs'!$O:$O,1,FALSE)</f>
        <v>Discover A Fixed-Duration Treatment Option For 3L+ DLBCL And View Important Safety Info. Any</v>
      </c>
      <c r="CL21" s="218" t="s">
        <v>65</v>
      </c>
      <c r="CM21" s="218" t="str">
        <f>IFERROR(VLOOKUP(CL21,'ATP - RSAs'!$F:$F,1,FALSE),"#N/A")</f>
        <v>Download The Patient Brochure To Learn More About A DLBCL Fixed-Duration Treatment.</v>
      </c>
      <c r="CN21" s="219" t="s">
        <v>64</v>
      </c>
      <c r="CO21" s="219" t="str">
        <f>IFERROR(VLOOKUP(CN21,'ATP - RSAs'!$H:$H,1,FALSE),"#N/A")</f>
        <v>Any</v>
      </c>
      <c r="CP21" s="219" t="str">
        <f t="shared" si="15"/>
        <v>Download The Patient Brochure To Learn More About A DLBCL Fixed-Duration Treatment. Any</v>
      </c>
      <c r="CQ21" s="219" t="str">
        <f>VLOOKUP(CP21,'ATP - RSAs'!$O:$O,1,FALSE)</f>
        <v>Download The Patient Brochure To Learn More About A DLBCL Fixed-Duration Treatment. Any</v>
      </c>
      <c r="CR21" s="218" t="s">
        <v>66</v>
      </c>
      <c r="CS21" s="218" t="str">
        <f>IFERROR(VLOOKUP(CR21,'ATP - RSAs'!$F:$F,1,FALSE),"#N/A")</f>
        <v>Explore An Infusion Option For Diffuse Large B Cell Lymphoma &amp; View Clinical Results.</v>
      </c>
      <c r="CT21" s="219" t="s">
        <v>64</v>
      </c>
      <c r="CU21" s="219" t="str">
        <f>IFERROR(VLOOKUP(CT21,'ATP - RSAs'!$H:$H,1,FALSE),"#N/A")</f>
        <v>Any</v>
      </c>
      <c r="CV21" s="219" t="str">
        <f t="shared" si="16"/>
        <v>Explore An Infusion Option For Diffuse Large B Cell Lymphoma &amp; View Clinical Results. Any</v>
      </c>
      <c r="CW21" s="219" t="str">
        <f>VLOOKUP(CV21,'ATP - RSAs'!$O:$O,1,FALSE)</f>
        <v>Explore An Infusion Option For Diffuse Large B Cell Lymphoma &amp; View Clinical Results. Any</v>
      </c>
      <c r="CX21" s="218" t="s">
        <v>74</v>
      </c>
      <c r="CY21" s="218" t="str">
        <f>IFERROR(VLOOKUP(CX21,'ATP - RSAs'!$F:$F,1,FALSE),"#N/A")</f>
        <v>Learn More About Starting Treatment For 3L+ DLBCL After Two Or More Prior Therapies.</v>
      </c>
      <c r="CZ21" s="219" t="s">
        <v>64</v>
      </c>
      <c r="DA21" s="219" t="str">
        <f>IFERROR(VLOOKUP(CZ21,'ATP - RSAs'!$H:$H,1,FALSE),"#N/A")</f>
        <v>Any</v>
      </c>
      <c r="DB21" s="219" t="str">
        <f t="shared" si="17"/>
        <v>Learn More About Starting Treatment For 3L+ DLBCL After Two Or More Prior Therapies. Any</v>
      </c>
      <c r="DC21" s="219" t="str">
        <f>VLOOKUP(DB21,'ATP - RSAs'!$O:$O,1,FALSE)</f>
        <v>Learn More About Starting Treatment For 3L+ DLBCL After Two Or More Prior Therapies. Any</v>
      </c>
      <c r="DD21" s="218" t="s">
        <v>68</v>
      </c>
      <c r="DE21" s="218" t="s">
        <v>107</v>
      </c>
    </row>
    <row r="22" spans="1:109" ht="15.75" customHeight="1" x14ac:dyDescent="0.3">
      <c r="A22" s="4" t="s">
        <v>92</v>
      </c>
      <c r="B22" s="4" t="str">
        <f>IFERROR(VLOOKUP(A22,'ATP - RSAs'!$A:$A,1,FALSE),"#N/A")</f>
        <v>Unbranded Treatment</v>
      </c>
      <c r="C22" s="218" t="s">
        <v>109</v>
      </c>
      <c r="D22" s="218" t="str">
        <f>IFERROR(VLOOKUP(C22,'ATP - RSAs'!$B:$B,1,FALSE),"#N/A")</f>
        <v>Unbranded DLBCL Therapy</v>
      </c>
      <c r="E22" s="218" t="str">
        <f t="shared" si="0"/>
        <v>Unbranded Treatment Unbranded DLBCL Therapy</v>
      </c>
      <c r="F22" s="218" t="s">
        <v>110</v>
      </c>
      <c r="G22" s="218" t="str">
        <f>IFERROR(VLOOKUP(F22,'ATP - RSAs'!$C:$C,1,FALSE),"#N/A")</f>
        <v>Therapy Option For 3L+ DLBCL</v>
      </c>
      <c r="H22" s="219">
        <v>6</v>
      </c>
      <c r="I22" s="219" t="str">
        <f>IFERROR(VLOOKUP(H22,'ATP - RSAs'!$E:$E,1,FALSE),"#N/A")</f>
        <v>#N/A</v>
      </c>
      <c r="J22" s="219" t="str">
        <f t="shared" si="1"/>
        <v>Unbranded Treatment Unbranded DLBCL Therapy Therapy Option For 3L+ DLBCL 6</v>
      </c>
      <c r="K22" s="219" t="e">
        <f>VLOOKUP(J22,'ATP - RSAs'!$N:$N,1,FALSE)</f>
        <v>#N/A</v>
      </c>
      <c r="L22" s="218" t="s">
        <v>50</v>
      </c>
      <c r="M22" s="218" t="str">
        <f>IFERROR(VLOOKUP(L22,'ATP - RSAs'!$C:$C,1,FALSE),"#N/A")</f>
        <v>Download The Patient Brochure</v>
      </c>
      <c r="N22" s="219" t="s">
        <v>51</v>
      </c>
      <c r="O22" s="219" t="str">
        <f>IFERROR(VLOOKUP(N22,'ATP - RSAs'!$E:$E,1,FALSE),"#N/A")</f>
        <v>2 or 3</v>
      </c>
      <c r="P22" s="219" t="str">
        <f t="shared" si="2"/>
        <v>Unbranded Treatment Unbranded DLBCL Therapy Download The Patient Brochure 2 or 3</v>
      </c>
      <c r="Q22" s="219" t="str">
        <f>VLOOKUP(P22,'ATP - RSAs'!$N:$N,1,FALSE)</f>
        <v>Unbranded Treatment Unbranded DLBCL Therapy Download The Patient Brochure 2 or 3</v>
      </c>
      <c r="R22" s="218" t="s">
        <v>52</v>
      </c>
      <c r="S22" s="218" t="str">
        <f>IFERROR(VLOOKUP(R22,'ATP - RSAs'!$C:$C,1,FALSE),"#N/A")</f>
        <v>Resources For Patients</v>
      </c>
      <c r="T22" s="219" t="s">
        <v>51</v>
      </c>
      <c r="U22" s="219" t="str">
        <f>IFERROR(VLOOKUP(T22,'ATP - RSAs'!$E:$E,1,FALSE),"#N/A")</f>
        <v>2 or 3</v>
      </c>
      <c r="V22" s="219" t="str">
        <f t="shared" si="3"/>
        <v>Unbranded Treatment Unbranded DLBCL Therapy Resources For Patients 2 or 3</v>
      </c>
      <c r="W22" s="219" t="str">
        <f>VLOOKUP(V22,'ATP - RSAs'!$N:$N,1,FALSE)</f>
        <v>Unbranded Treatment Unbranded DLBCL Therapy Resources For Patients 2 or 3</v>
      </c>
      <c r="X22" s="218" t="s">
        <v>53</v>
      </c>
      <c r="Y22" s="218" t="str">
        <f>IFERROR(VLOOKUP(X22,'ATP - RSAs'!$C:$C,1,FALSE),"#N/A")</f>
        <v>Financial Assistance Options</v>
      </c>
      <c r="Z22" s="219" t="s">
        <v>51</v>
      </c>
      <c r="AA22" s="219" t="str">
        <f>IFERROR(VLOOKUP(Z22,'ATP - RSAs'!$E:$E,1,FALSE),"#N/A")</f>
        <v>2 or 3</v>
      </c>
      <c r="AB22" s="219" t="str">
        <f t="shared" si="4"/>
        <v>Unbranded Treatment Unbranded DLBCL Therapy Financial Assistance Options 2 or 3</v>
      </c>
      <c r="AC22" s="219" t="str">
        <f>VLOOKUP(AB22,'ATP - RSAs'!$N:$N,1,FALSE)</f>
        <v>Unbranded Treatment Unbranded DLBCL Therapy Financial Assistance Options 2 or 3</v>
      </c>
      <c r="AD22" s="218" t="s">
        <v>54</v>
      </c>
      <c r="AE22" s="218" t="str">
        <f>IFERROR(VLOOKUP(AD22,'ATP - RSAs'!$C:$C,1,FALSE),"#N/A")</f>
        <v>Important Safety Information</v>
      </c>
      <c r="AF22" s="219" t="s">
        <v>51</v>
      </c>
      <c r="AG22" s="219" t="str">
        <f>IFERROR(VLOOKUP(AF22,'ATP - RSAs'!$E:$E,1,FALSE),"#N/A")</f>
        <v>2 or 3</v>
      </c>
      <c r="AH22" s="219" t="str">
        <f t="shared" si="5"/>
        <v>Unbranded Treatment Unbranded DLBCL Therapy Important Safety Information 2 or 3</v>
      </c>
      <c r="AI22" s="219" t="str">
        <f>VLOOKUP(AH22,'ATP - RSAs'!$N:$N,1,FALSE)</f>
        <v>Unbranded Treatment Unbranded DLBCL Therapy Important Safety Information 2 or 3</v>
      </c>
      <c r="AJ22" s="218" t="s">
        <v>55</v>
      </c>
      <c r="AK22" s="218" t="str">
        <f>IFERROR(VLOOKUP(AJ22,'ATP - RSAs'!$C:$C,1,FALSE),"#N/A")</f>
        <v>Questions To Ask Your Doctor</v>
      </c>
      <c r="AL22" s="219" t="s">
        <v>51</v>
      </c>
      <c r="AM22" s="219" t="str">
        <f>IFERROR(VLOOKUP(AL22,'ATP - RSAs'!$E:$E,1,FALSE),"#N/A")</f>
        <v>2 or 3</v>
      </c>
      <c r="AN22" s="219" t="str">
        <f t="shared" si="6"/>
        <v>Unbranded Treatment Unbranded DLBCL Therapy Questions To Ask Your Doctor 2 or 3</v>
      </c>
      <c r="AO22" s="219" t="str">
        <f>VLOOKUP(AN22,'ATP - RSAs'!$N:$N,1,FALSE)</f>
        <v>Unbranded Treatment Unbranded DLBCL Therapy Questions To Ask Your Doctor 2 or 3</v>
      </c>
      <c r="AP22" s="218" t="s">
        <v>56</v>
      </c>
      <c r="AQ22" s="218" t="str">
        <f>IFERROR(VLOOKUP(AP22,'ATP - RSAs'!$C:$C,1,FALSE),"#N/A")</f>
        <v>DLBCL Infusion Therapy</v>
      </c>
      <c r="AR22" s="219" t="s">
        <v>51</v>
      </c>
      <c r="AS22" s="219" t="str">
        <f>IFERROR(VLOOKUP(AR22,'ATP - RSAs'!$E:$E,1,FALSE),"#N/A")</f>
        <v>2 or 3</v>
      </c>
      <c r="AT22" s="219" t="str">
        <f t="shared" si="7"/>
        <v>Unbranded Treatment Unbranded DLBCL Therapy DLBCL Infusion Therapy 2 or 3</v>
      </c>
      <c r="AU22" s="219" t="str">
        <f>VLOOKUP(AT22,'ATP - RSAs'!$N:$N,1,FALSE)</f>
        <v>Unbranded Treatment Unbranded DLBCL Therapy DLBCL Infusion Therapy 2 or 3</v>
      </c>
      <c r="AV22" s="218" t="s">
        <v>57</v>
      </c>
      <c r="AW22" s="218" t="str">
        <f>IFERROR(VLOOKUP(AV22,'ATP - RSAs'!$C:$C,1,FALSE),"#N/A")</f>
        <v>Clinical Trial Results</v>
      </c>
      <c r="AX22" s="219" t="s">
        <v>51</v>
      </c>
      <c r="AY22" s="219" t="str">
        <f>IFERROR(VLOOKUP(AX22,'ATP - RSAs'!$E:$E,1,FALSE),"#N/A")</f>
        <v>2 or 3</v>
      </c>
      <c r="AZ22" s="219" t="str">
        <f t="shared" si="8"/>
        <v>Unbranded Treatment Unbranded DLBCL Therapy Clinical Trial Results 2 or 3</v>
      </c>
      <c r="BA22" s="219" t="str">
        <f>VLOOKUP(AZ22,'ATP - RSAs'!$N:$N,1,FALSE)</f>
        <v>Unbranded Treatment Unbranded DLBCL Therapy Clinical Trial Results 2 or 3</v>
      </c>
      <c r="BB22" s="218" t="s">
        <v>58</v>
      </c>
      <c r="BC22" s="218" t="str">
        <f>IFERROR(VLOOKUP(BB22,'ATP - RSAs'!$C:$C,1,FALSE),"#N/A")</f>
        <v>Information For Patients</v>
      </c>
      <c r="BD22" s="219" t="s">
        <v>51</v>
      </c>
      <c r="BE22" s="219" t="str">
        <f>IFERROR(VLOOKUP(BD22,'ATP - RSAs'!$E:$E,1,FALSE),"#N/A")</f>
        <v>2 or 3</v>
      </c>
      <c r="BF22" s="219" t="str">
        <f t="shared" si="9"/>
        <v>Unbranded Treatment Unbranded DLBCL Therapy Information For Patients 2 or 3</v>
      </c>
      <c r="BG22" s="219" t="str">
        <f>VLOOKUP(BF22,'ATP - RSAs'!$N:$N,1,FALSE)</f>
        <v>Unbranded Treatment Unbranded DLBCL Therapy Information For Patients 2 or 3</v>
      </c>
      <c r="BH22" s="218" t="s">
        <v>59</v>
      </c>
      <c r="BI22" s="218" t="str">
        <f>IFERROR(VLOOKUP(BH22,'ATP - RSAs'!$C:$C,1,FALSE),"#N/A")</f>
        <v>Efficacy &amp; Safety Information</v>
      </c>
      <c r="BJ22" s="219" t="s">
        <v>51</v>
      </c>
      <c r="BK22" s="219" t="str">
        <f>IFERROR(VLOOKUP(BJ22,'ATP - RSAs'!$E:$E,1,FALSE),"#N/A")</f>
        <v>2 or 3</v>
      </c>
      <c r="BL22" s="219" t="str">
        <f t="shared" si="10"/>
        <v>Unbranded Treatment Unbranded DLBCL Therapy Efficacy &amp; Safety Information 2 or 3</v>
      </c>
      <c r="BM22" s="219" t="str">
        <f>VLOOKUP(BL22,'ATP - RSAs'!$N:$N,1,FALSE)</f>
        <v>Unbranded Treatment Unbranded DLBCL Therapy Efficacy &amp; Safety Information 2 or 3</v>
      </c>
      <c r="BN22" s="218" t="s">
        <v>105</v>
      </c>
      <c r="BO22" s="218" t="str">
        <f>IFERROR(VLOOKUP(BN22,'ATP - RSAs'!$C:$C,1,FALSE),"#N/A")</f>
        <v>DLBCL Intravenous Infusion</v>
      </c>
      <c r="BP22" s="219" t="s">
        <v>51</v>
      </c>
      <c r="BQ22" s="219" t="str">
        <f>IFERROR(VLOOKUP(BP22,'ATP - RSAs'!$E:$E,1,FALSE),"#N/A")</f>
        <v>2 or 3</v>
      </c>
      <c r="BR22" s="219" t="str">
        <f t="shared" si="11"/>
        <v>Unbranded Treatment Unbranded DLBCL Therapy DLBCL Intravenous Infusion 2 or 3</v>
      </c>
      <c r="BS22" s="219" t="str">
        <f>VLOOKUP(BR22,'ATP - RSAs'!$N:$N,1,FALSE)</f>
        <v>Unbranded Treatment Unbranded DLBCL Therapy DLBCL Intravenous Infusion 2 or 3</v>
      </c>
      <c r="BT22" s="218" t="s">
        <v>99</v>
      </c>
      <c r="BU22" s="218" t="str">
        <f>IFERROR(VLOOKUP(BT22,'ATP - RSAs'!$C:$C,1,FALSE),"#N/A")</f>
        <v>DLBCL Symptoms</v>
      </c>
      <c r="BV22" s="219" t="s">
        <v>51</v>
      </c>
      <c r="BW22" s="219" t="str">
        <f>IFERROR(VLOOKUP(BV22,'ATP - RSAs'!$E:$E,1,FALSE),"#N/A")</f>
        <v>2 or 3</v>
      </c>
      <c r="BX22" s="219" t="str">
        <f t="shared" si="12"/>
        <v>Unbranded Treatment Unbranded DLBCL Therapy DLBCL Symptoms 2 or 3</v>
      </c>
      <c r="BY22" s="219" t="str">
        <f>VLOOKUP(BX22,'ATP - RSAs'!$N:$N,1,FALSE)</f>
        <v>Unbranded Treatment Unbranded DLBCL Therapy DLBCL Symptoms 2 or 3</v>
      </c>
      <c r="BZ22" s="218" t="s">
        <v>111</v>
      </c>
      <c r="CA22" s="218" t="str">
        <f>IFERROR(VLOOKUP(BZ22,'ATP - RSAs'!$C:$C,1,FALSE),"#N/A")</f>
        <v>3L+ DLBCL Therapy Option</v>
      </c>
      <c r="CB22" s="219" t="s">
        <v>51</v>
      </c>
      <c r="CC22" s="219" t="str">
        <f>IFERROR(VLOOKUP(CB22,'ATP - RSAs'!$E:$E,1,FALSE),"#N/A")</f>
        <v>2 or 3</v>
      </c>
      <c r="CD22" s="219" t="str">
        <f t="shared" si="13"/>
        <v>Unbranded Treatment Unbranded DLBCL Therapy 3L+ DLBCL Therapy Option 2 or 3</v>
      </c>
      <c r="CE22" s="219" t="str">
        <f>VLOOKUP(CD22,'ATP - RSAs'!$N:$N,1,FALSE)</f>
        <v>Unbranded Treatment Unbranded DLBCL Therapy 3L+ DLBCL Therapy Option 2 or 3</v>
      </c>
      <c r="CF22" s="218" t="s">
        <v>63</v>
      </c>
      <c r="CG22" s="218" t="str">
        <f>IFERROR(VLOOKUP(CF22,'ATP - RSAs'!$F:$F,1,FALSE),"#N/A")</f>
        <v>Discover A Fixed-Duration Treatment Option For 3L+ DLBCL And View Important Safety Info.</v>
      </c>
      <c r="CH22" s="219" t="s">
        <v>64</v>
      </c>
      <c r="CI22" s="219" t="str">
        <f>IFERROR(VLOOKUP(CH22,'ATP - RSAs'!$H:$H,1,FALSE),"#N/A")</f>
        <v>Any</v>
      </c>
      <c r="CJ22" s="219" t="str">
        <f t="shared" si="14"/>
        <v>Discover A Fixed-Duration Treatment Option For 3L+ DLBCL And View Important Safety Info. Any</v>
      </c>
      <c r="CK22" s="219" t="str">
        <f>VLOOKUP(CJ22,'ATP - RSAs'!$O:$O,1,FALSE)</f>
        <v>Discover A Fixed-Duration Treatment Option For 3L+ DLBCL And View Important Safety Info. Any</v>
      </c>
      <c r="CL22" s="218" t="s">
        <v>65</v>
      </c>
      <c r="CM22" s="218" t="str">
        <f>IFERROR(VLOOKUP(CL22,'ATP - RSAs'!$F:$F,1,FALSE),"#N/A")</f>
        <v>Download The Patient Brochure To Learn More About A DLBCL Fixed-Duration Treatment.</v>
      </c>
      <c r="CN22" s="219" t="s">
        <v>64</v>
      </c>
      <c r="CO22" s="219" t="str">
        <f>IFERROR(VLOOKUP(CN22,'ATP - RSAs'!$H:$H,1,FALSE),"#N/A")</f>
        <v>Any</v>
      </c>
      <c r="CP22" s="219" t="str">
        <f t="shared" si="15"/>
        <v>Download The Patient Brochure To Learn More About A DLBCL Fixed-Duration Treatment. Any</v>
      </c>
      <c r="CQ22" s="219" t="str">
        <f>VLOOKUP(CP22,'ATP - RSAs'!$O:$O,1,FALSE)</f>
        <v>Download The Patient Brochure To Learn More About A DLBCL Fixed-Duration Treatment. Any</v>
      </c>
      <c r="CR22" s="218" t="s">
        <v>66</v>
      </c>
      <c r="CS22" s="218" t="str">
        <f>IFERROR(VLOOKUP(CR22,'ATP - RSAs'!$F:$F,1,FALSE),"#N/A")</f>
        <v>Explore An Infusion Option For Diffuse Large B Cell Lymphoma &amp; View Clinical Results.</v>
      </c>
      <c r="CT22" s="219" t="s">
        <v>64</v>
      </c>
      <c r="CU22" s="219" t="str">
        <f>IFERROR(VLOOKUP(CT22,'ATP - RSAs'!$H:$H,1,FALSE),"#N/A")</f>
        <v>Any</v>
      </c>
      <c r="CV22" s="219" t="str">
        <f t="shared" si="16"/>
        <v>Explore An Infusion Option For Diffuse Large B Cell Lymphoma &amp; View Clinical Results. Any</v>
      </c>
      <c r="CW22" s="219" t="str">
        <f>VLOOKUP(CV22,'ATP - RSAs'!$O:$O,1,FALSE)</f>
        <v>Explore An Infusion Option For Diffuse Large B Cell Lymphoma &amp; View Clinical Results. Any</v>
      </c>
      <c r="CX22" s="218" t="s">
        <v>74</v>
      </c>
      <c r="CY22" s="218" t="str">
        <f>IFERROR(VLOOKUP(CX22,'ATP - RSAs'!$F:$F,1,FALSE),"#N/A")</f>
        <v>Learn More About Starting Treatment For 3L+ DLBCL After Two Or More Prior Therapies.</v>
      </c>
      <c r="CZ22" s="219" t="s">
        <v>64</v>
      </c>
      <c r="DA22" s="219" t="str">
        <f>IFERROR(VLOOKUP(CZ22,'ATP - RSAs'!$H:$H,1,FALSE),"#N/A")</f>
        <v>Any</v>
      </c>
      <c r="DB22" s="219" t="str">
        <f t="shared" si="17"/>
        <v>Learn More About Starting Treatment For 3L+ DLBCL After Two Or More Prior Therapies. Any</v>
      </c>
      <c r="DC22" s="219" t="str">
        <f>VLOOKUP(DB22,'ATP - RSAs'!$O:$O,1,FALSE)</f>
        <v>Learn More About Starting Treatment For 3L+ DLBCL After Two Or More Prior Therapies. Any</v>
      </c>
      <c r="DD22" s="218" t="s">
        <v>68</v>
      </c>
      <c r="DE22" s="218" t="s">
        <v>107</v>
      </c>
    </row>
    <row r="23" spans="1:109" ht="15.75" customHeight="1" x14ac:dyDescent="0.3">
      <c r="A23" s="4" t="s">
        <v>92</v>
      </c>
      <c r="B23" s="4" t="str">
        <f>IFERROR(VLOOKUP(A23,'ATP - RSAs'!$A:$A,1,FALSE),"#N/A")</f>
        <v>Unbranded Treatment</v>
      </c>
      <c r="C23" s="218" t="s">
        <v>113</v>
      </c>
      <c r="D23" s="218" t="str">
        <f>IFERROR(VLOOKUP(C23,'ATP - RSAs'!$B:$B,1,FALSE),"#N/A")</f>
        <v>Unbranded DLBCL Dosing</v>
      </c>
      <c r="E23" s="218" t="str">
        <f t="shared" si="0"/>
        <v>Unbranded Treatment Unbranded DLBCL Dosing</v>
      </c>
      <c r="F23" s="218" t="s">
        <v>110</v>
      </c>
      <c r="G23" s="218" t="str">
        <f>IFERROR(VLOOKUP(F23,'ATP - RSAs'!$C:$C,1,FALSE),"#N/A")</f>
        <v>Therapy Option For 3L+ DLBCL</v>
      </c>
      <c r="H23" s="219">
        <v>1</v>
      </c>
      <c r="I23" s="219">
        <f>IFERROR(VLOOKUP(H23,'ATP - RSAs'!$E:$E,1,FALSE),"#N/A")</f>
        <v>1</v>
      </c>
      <c r="J23" s="219" t="str">
        <f t="shared" si="1"/>
        <v>Unbranded Treatment Unbranded DLBCL Dosing Therapy Option For 3L+ DLBCL 1</v>
      </c>
      <c r="K23" s="219" t="str">
        <f>VLOOKUP(J23,'ATP - RSAs'!$N:$N,1,FALSE)</f>
        <v>Unbranded Treatment Unbranded DLBCL Dosing Therapy Option For 3L+ DLBCL 1</v>
      </c>
      <c r="L23" s="218" t="s">
        <v>50</v>
      </c>
      <c r="M23" s="218" t="str">
        <f>IFERROR(VLOOKUP(L23,'ATP - RSAs'!$C:$C,1,FALSE),"#N/A")</f>
        <v>Download The Patient Brochure</v>
      </c>
      <c r="N23" s="219" t="s">
        <v>51</v>
      </c>
      <c r="O23" s="219" t="str">
        <f>IFERROR(VLOOKUP(N23,'ATP - RSAs'!$E:$E,1,FALSE),"#N/A")</f>
        <v>2 or 3</v>
      </c>
      <c r="P23" s="219" t="str">
        <f t="shared" si="2"/>
        <v>Unbranded Treatment Unbranded DLBCL Dosing Download The Patient Brochure 2 or 3</v>
      </c>
      <c r="Q23" s="219" t="str">
        <f>VLOOKUP(P23,'ATP - RSAs'!$N:$N,1,FALSE)</f>
        <v>Unbranded Treatment Unbranded DLBCL Dosing Download The Patient Brochure 2 or 3</v>
      </c>
      <c r="R23" s="218" t="s">
        <v>52</v>
      </c>
      <c r="S23" s="218" t="str">
        <f>IFERROR(VLOOKUP(R23,'ATP - RSAs'!$C:$C,1,FALSE),"#N/A")</f>
        <v>Resources For Patients</v>
      </c>
      <c r="T23" s="219" t="s">
        <v>51</v>
      </c>
      <c r="U23" s="219" t="str">
        <f>IFERROR(VLOOKUP(T23,'ATP - RSAs'!$E:$E,1,FALSE),"#N/A")</f>
        <v>2 or 3</v>
      </c>
      <c r="V23" s="219" t="str">
        <f t="shared" si="3"/>
        <v>Unbranded Treatment Unbranded DLBCL Dosing Resources For Patients 2 or 3</v>
      </c>
      <c r="W23" s="219" t="str">
        <f>VLOOKUP(V23,'ATP - RSAs'!$N:$N,1,FALSE)</f>
        <v>Unbranded Treatment Unbranded DLBCL Dosing Resources For Patients 2 or 3</v>
      </c>
      <c r="X23" s="218" t="s">
        <v>53</v>
      </c>
      <c r="Y23" s="218" t="str">
        <f>IFERROR(VLOOKUP(X23,'ATP - RSAs'!$C:$C,1,FALSE),"#N/A")</f>
        <v>Financial Assistance Options</v>
      </c>
      <c r="Z23" s="219" t="s">
        <v>51</v>
      </c>
      <c r="AA23" s="219" t="str">
        <f>IFERROR(VLOOKUP(Z23,'ATP - RSAs'!$E:$E,1,FALSE),"#N/A")</f>
        <v>2 or 3</v>
      </c>
      <c r="AB23" s="219" t="str">
        <f t="shared" si="4"/>
        <v>Unbranded Treatment Unbranded DLBCL Dosing Financial Assistance Options 2 or 3</v>
      </c>
      <c r="AC23" s="219" t="str">
        <f>VLOOKUP(AB23,'ATP - RSAs'!$N:$N,1,FALSE)</f>
        <v>Unbranded Treatment Unbranded DLBCL Dosing Financial Assistance Options 2 or 3</v>
      </c>
      <c r="AD23" s="218" t="s">
        <v>54</v>
      </c>
      <c r="AE23" s="218" t="str">
        <f>IFERROR(VLOOKUP(AD23,'ATP - RSAs'!$C:$C,1,FALSE),"#N/A")</f>
        <v>Important Safety Information</v>
      </c>
      <c r="AF23" s="219" t="s">
        <v>51</v>
      </c>
      <c r="AG23" s="219" t="str">
        <f>IFERROR(VLOOKUP(AF23,'ATP - RSAs'!$E:$E,1,FALSE),"#N/A")</f>
        <v>2 or 3</v>
      </c>
      <c r="AH23" s="219" t="str">
        <f t="shared" si="5"/>
        <v>Unbranded Treatment Unbranded DLBCL Dosing Important Safety Information 2 or 3</v>
      </c>
      <c r="AI23" s="219" t="str">
        <f>VLOOKUP(AH23,'ATP - RSAs'!$N:$N,1,FALSE)</f>
        <v>Unbranded Treatment Unbranded DLBCL Dosing Important Safety Information 2 or 3</v>
      </c>
      <c r="AJ23" s="218" t="s">
        <v>55</v>
      </c>
      <c r="AK23" s="218" t="str">
        <f>IFERROR(VLOOKUP(AJ23,'ATP - RSAs'!$C:$C,1,FALSE),"#N/A")</f>
        <v>Questions To Ask Your Doctor</v>
      </c>
      <c r="AL23" s="219" t="s">
        <v>51</v>
      </c>
      <c r="AM23" s="219" t="str">
        <f>IFERROR(VLOOKUP(AL23,'ATP - RSAs'!$E:$E,1,FALSE),"#N/A")</f>
        <v>2 or 3</v>
      </c>
      <c r="AN23" s="219" t="str">
        <f t="shared" si="6"/>
        <v>Unbranded Treatment Unbranded DLBCL Dosing Questions To Ask Your Doctor 2 or 3</v>
      </c>
      <c r="AO23" s="219" t="str">
        <f>VLOOKUP(AN23,'ATP - RSAs'!$N:$N,1,FALSE)</f>
        <v>Unbranded Treatment Unbranded DLBCL Dosing Questions To Ask Your Doctor 2 or 3</v>
      </c>
      <c r="AP23" s="218" t="s">
        <v>56</v>
      </c>
      <c r="AQ23" s="218" t="str">
        <f>IFERROR(VLOOKUP(AP23,'ATP - RSAs'!$C:$C,1,FALSE),"#N/A")</f>
        <v>DLBCL Infusion Therapy</v>
      </c>
      <c r="AR23" s="219" t="s">
        <v>51</v>
      </c>
      <c r="AS23" s="219" t="str">
        <f>IFERROR(VLOOKUP(AR23,'ATP - RSAs'!$E:$E,1,FALSE),"#N/A")</f>
        <v>2 or 3</v>
      </c>
      <c r="AT23" s="219" t="str">
        <f t="shared" si="7"/>
        <v>Unbranded Treatment Unbranded DLBCL Dosing DLBCL Infusion Therapy 2 or 3</v>
      </c>
      <c r="AU23" s="219" t="str">
        <f>VLOOKUP(AT23,'ATP - RSAs'!$N:$N,1,FALSE)</f>
        <v>Unbranded Treatment Unbranded DLBCL Dosing DLBCL Infusion Therapy 2 or 3</v>
      </c>
      <c r="AV23" s="218" t="s">
        <v>57</v>
      </c>
      <c r="AW23" s="218" t="str">
        <f>IFERROR(VLOOKUP(AV23,'ATP - RSAs'!$C:$C,1,FALSE),"#N/A")</f>
        <v>Clinical Trial Results</v>
      </c>
      <c r="AX23" s="219" t="s">
        <v>51</v>
      </c>
      <c r="AY23" s="219" t="str">
        <f>IFERROR(VLOOKUP(AX23,'ATP - RSAs'!$E:$E,1,FALSE),"#N/A")</f>
        <v>2 or 3</v>
      </c>
      <c r="AZ23" s="219" t="str">
        <f t="shared" si="8"/>
        <v>Unbranded Treatment Unbranded DLBCL Dosing Clinical Trial Results 2 or 3</v>
      </c>
      <c r="BA23" s="219" t="str">
        <f>VLOOKUP(AZ23,'ATP - RSAs'!$N:$N,1,FALSE)</f>
        <v>Unbranded Treatment Unbranded DLBCL Dosing Clinical Trial Results 2 or 3</v>
      </c>
      <c r="BB23" s="218" t="s">
        <v>58</v>
      </c>
      <c r="BC23" s="218" t="str">
        <f>IFERROR(VLOOKUP(BB23,'ATP - RSAs'!$C:$C,1,FALSE),"#N/A")</f>
        <v>Information For Patients</v>
      </c>
      <c r="BD23" s="219" t="s">
        <v>51</v>
      </c>
      <c r="BE23" s="219" t="str">
        <f>IFERROR(VLOOKUP(BD23,'ATP - RSAs'!$E:$E,1,FALSE),"#N/A")</f>
        <v>2 or 3</v>
      </c>
      <c r="BF23" s="219" t="str">
        <f t="shared" si="9"/>
        <v>Unbranded Treatment Unbranded DLBCL Dosing Information For Patients 2 or 3</v>
      </c>
      <c r="BG23" s="219" t="str">
        <f>VLOOKUP(BF23,'ATP - RSAs'!$N:$N,1,FALSE)</f>
        <v>Unbranded Treatment Unbranded DLBCL Dosing Information For Patients 2 or 3</v>
      </c>
      <c r="BH23" s="218" t="s">
        <v>59</v>
      </c>
      <c r="BI23" s="218" t="str">
        <f>IFERROR(VLOOKUP(BH23,'ATP - RSAs'!$C:$C,1,FALSE),"#N/A")</f>
        <v>Efficacy &amp; Safety Information</v>
      </c>
      <c r="BJ23" s="219" t="s">
        <v>51</v>
      </c>
      <c r="BK23" s="219" t="str">
        <f>IFERROR(VLOOKUP(BJ23,'ATP - RSAs'!$E:$E,1,FALSE),"#N/A")</f>
        <v>2 or 3</v>
      </c>
      <c r="BL23" s="219" t="str">
        <f t="shared" si="10"/>
        <v>Unbranded Treatment Unbranded DLBCL Dosing Efficacy &amp; Safety Information 2 or 3</v>
      </c>
      <c r="BM23" s="219" t="str">
        <f>VLOOKUP(BL23,'ATP - RSAs'!$N:$N,1,FALSE)</f>
        <v>Unbranded Treatment Unbranded DLBCL Dosing Efficacy &amp; Safety Information 2 or 3</v>
      </c>
      <c r="BN23" s="218" t="s">
        <v>105</v>
      </c>
      <c r="BO23" s="218" t="str">
        <f>IFERROR(VLOOKUP(BN23,'ATP - RSAs'!$C:$C,1,FALSE),"#N/A")</f>
        <v>DLBCL Intravenous Infusion</v>
      </c>
      <c r="BP23" s="219" t="s">
        <v>51</v>
      </c>
      <c r="BQ23" s="219" t="str">
        <f>IFERROR(VLOOKUP(BP23,'ATP - RSAs'!$E:$E,1,FALSE),"#N/A")</f>
        <v>2 or 3</v>
      </c>
      <c r="BR23" s="219" t="str">
        <f t="shared" si="11"/>
        <v>Unbranded Treatment Unbranded DLBCL Dosing DLBCL Intravenous Infusion 2 or 3</v>
      </c>
      <c r="BS23" s="219" t="str">
        <f>VLOOKUP(BR23,'ATP - RSAs'!$N:$N,1,FALSE)</f>
        <v>Unbranded Treatment Unbranded DLBCL Dosing DLBCL Intravenous Infusion 2 or 3</v>
      </c>
      <c r="BT23" s="218" t="s">
        <v>99</v>
      </c>
      <c r="BU23" s="218" t="str">
        <f>IFERROR(VLOOKUP(BT23,'ATP - RSAs'!$C:$C,1,FALSE),"#N/A")</f>
        <v>DLBCL Symptoms</v>
      </c>
      <c r="BV23" s="219" t="s">
        <v>51</v>
      </c>
      <c r="BW23" s="219" t="str">
        <f>IFERROR(VLOOKUP(BV23,'ATP - RSAs'!$E:$E,1,FALSE),"#N/A")</f>
        <v>2 or 3</v>
      </c>
      <c r="BX23" s="219" t="str">
        <f t="shared" si="12"/>
        <v>Unbranded Treatment Unbranded DLBCL Dosing DLBCL Symptoms 2 or 3</v>
      </c>
      <c r="BY23" s="219" t="str">
        <f>VLOOKUP(BX23,'ATP - RSAs'!$N:$N,1,FALSE)</f>
        <v>Unbranded Treatment Unbranded DLBCL Dosing DLBCL Symptoms 2 or 3</v>
      </c>
      <c r="BZ23" s="218" t="s">
        <v>111</v>
      </c>
      <c r="CA23" s="218" t="str">
        <f>IFERROR(VLOOKUP(BZ23,'ATP - RSAs'!$C:$C,1,FALSE),"#N/A")</f>
        <v>3L+ DLBCL Therapy Option</v>
      </c>
      <c r="CB23" s="219" t="s">
        <v>51</v>
      </c>
      <c r="CC23" s="219" t="str">
        <f>IFERROR(VLOOKUP(CB23,'ATP - RSAs'!$E:$E,1,FALSE),"#N/A")</f>
        <v>2 or 3</v>
      </c>
      <c r="CD23" s="219" t="str">
        <f t="shared" si="13"/>
        <v>Unbranded Treatment Unbranded DLBCL Dosing 3L+ DLBCL Therapy Option 2 or 3</v>
      </c>
      <c r="CE23" s="219" t="str">
        <f>VLOOKUP(CD23,'ATP - RSAs'!$N:$N,1,FALSE)</f>
        <v>Unbranded Treatment Unbranded DLBCL Dosing 3L+ DLBCL Therapy Option 2 or 3</v>
      </c>
      <c r="CF23" s="218" t="s">
        <v>63</v>
      </c>
      <c r="CG23" s="218" t="str">
        <f>IFERROR(VLOOKUP(CF23,'ATP - RSAs'!$F:$F,1,FALSE),"#N/A")</f>
        <v>Discover A Fixed-Duration Treatment Option For 3L+ DLBCL And View Important Safety Info.</v>
      </c>
      <c r="CH23" s="219" t="s">
        <v>64</v>
      </c>
      <c r="CI23" s="219" t="str">
        <f>IFERROR(VLOOKUP(CH23,'ATP - RSAs'!$H:$H,1,FALSE),"#N/A")</f>
        <v>Any</v>
      </c>
      <c r="CJ23" s="219" t="str">
        <f t="shared" si="14"/>
        <v>Discover A Fixed-Duration Treatment Option For 3L+ DLBCL And View Important Safety Info. Any</v>
      </c>
      <c r="CK23" s="219" t="str">
        <f>VLOOKUP(CJ23,'ATP - RSAs'!$O:$O,1,FALSE)</f>
        <v>Discover A Fixed-Duration Treatment Option For 3L+ DLBCL And View Important Safety Info. Any</v>
      </c>
      <c r="CL23" s="218" t="s">
        <v>65</v>
      </c>
      <c r="CM23" s="218" t="str">
        <f>IFERROR(VLOOKUP(CL23,'ATP - RSAs'!$F:$F,1,FALSE),"#N/A")</f>
        <v>Download The Patient Brochure To Learn More About A DLBCL Fixed-Duration Treatment.</v>
      </c>
      <c r="CN23" s="219" t="s">
        <v>64</v>
      </c>
      <c r="CO23" s="219" t="str">
        <f>IFERROR(VLOOKUP(CN23,'ATP - RSAs'!$H:$H,1,FALSE),"#N/A")</f>
        <v>Any</v>
      </c>
      <c r="CP23" s="219" t="str">
        <f t="shared" si="15"/>
        <v>Download The Patient Brochure To Learn More About A DLBCL Fixed-Duration Treatment. Any</v>
      </c>
      <c r="CQ23" s="219" t="str">
        <f>VLOOKUP(CP23,'ATP - RSAs'!$O:$O,1,FALSE)</f>
        <v>Download The Patient Brochure To Learn More About A DLBCL Fixed-Duration Treatment. Any</v>
      </c>
      <c r="CR23" s="218" t="s">
        <v>66</v>
      </c>
      <c r="CS23" s="218" t="str">
        <f>IFERROR(VLOOKUP(CR23,'ATP - RSAs'!$F:$F,1,FALSE),"#N/A")</f>
        <v>Explore An Infusion Option For Diffuse Large B Cell Lymphoma &amp; View Clinical Results.</v>
      </c>
      <c r="CT23" s="219" t="s">
        <v>64</v>
      </c>
      <c r="CU23" s="219" t="str">
        <f>IFERROR(VLOOKUP(CT23,'ATP - RSAs'!$H:$H,1,FALSE),"#N/A")</f>
        <v>Any</v>
      </c>
      <c r="CV23" s="219" t="str">
        <f t="shared" si="16"/>
        <v>Explore An Infusion Option For Diffuse Large B Cell Lymphoma &amp; View Clinical Results. Any</v>
      </c>
      <c r="CW23" s="219" t="str">
        <f>VLOOKUP(CV23,'ATP - RSAs'!$O:$O,1,FALSE)</f>
        <v>Explore An Infusion Option For Diffuse Large B Cell Lymphoma &amp; View Clinical Results. Any</v>
      </c>
      <c r="CX23" s="218" t="s">
        <v>74</v>
      </c>
      <c r="CY23" s="218" t="str">
        <f>IFERROR(VLOOKUP(CX23,'ATP - RSAs'!$F:$F,1,FALSE),"#N/A")</f>
        <v>Learn More About Starting Treatment For 3L+ DLBCL After Two Or More Prior Therapies.</v>
      </c>
      <c r="CZ23" s="219" t="s">
        <v>64</v>
      </c>
      <c r="DA23" s="219" t="str">
        <f>IFERROR(VLOOKUP(CZ23,'ATP - RSAs'!$H:$H,1,FALSE),"#N/A")</f>
        <v>Any</v>
      </c>
      <c r="DB23" s="219" t="str">
        <f t="shared" si="17"/>
        <v>Learn More About Starting Treatment For 3L+ DLBCL After Two Or More Prior Therapies. Any</v>
      </c>
      <c r="DC23" s="219" t="str">
        <f>VLOOKUP(DB23,'ATP - RSAs'!$O:$O,1,FALSE)</f>
        <v>Learn More About Starting Treatment For 3L+ DLBCL After Two Or More Prior Therapies. Any</v>
      </c>
      <c r="DD23" s="218" t="s">
        <v>68</v>
      </c>
      <c r="DE23" s="2" t="s">
        <v>107</v>
      </c>
    </row>
  </sheetData>
  <autoFilter ref="A1:DE23" xr:uid="{00000000-0001-0000-0100-000000000000}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 filterMode="1"/>
  <dimension ref="A1:DE23"/>
  <sheetViews>
    <sheetView workbookViewId="0">
      <selection activeCell="D9" sqref="D9"/>
    </sheetView>
  </sheetViews>
  <sheetFormatPr defaultColWidth="12.6640625" defaultRowHeight="15" customHeight="1" x14ac:dyDescent="0.3"/>
  <cols>
    <col min="1" max="2" width="32.77734375" customWidth="1"/>
    <col min="3" max="5" width="33.33203125" customWidth="1"/>
    <col min="6" max="7" width="32.33203125" customWidth="1"/>
    <col min="8" max="9" width="24.109375" customWidth="1"/>
    <col min="10" max="11" width="78.109375" bestFit="1" customWidth="1"/>
    <col min="12" max="13" width="32.88671875" customWidth="1"/>
    <col min="14" max="17" width="24.109375" customWidth="1"/>
    <col min="18" max="19" width="23.88671875" customWidth="1"/>
    <col min="20" max="23" width="24.109375" customWidth="1"/>
    <col min="24" max="25" width="30.21875" customWidth="1"/>
    <col min="26" max="29" width="24.109375" customWidth="1"/>
    <col min="30" max="31" width="30.109375" customWidth="1"/>
    <col min="32" max="35" width="11.6640625" customWidth="1"/>
    <col min="36" max="37" width="30.21875" customWidth="1"/>
    <col min="38" max="41" width="24.109375" customWidth="1"/>
    <col min="42" max="43" width="24.21875" customWidth="1"/>
    <col min="44" max="47" width="24.109375" customWidth="1"/>
    <col min="48" max="49" width="26.77734375" customWidth="1"/>
    <col min="50" max="53" width="24.109375" customWidth="1"/>
    <col min="54" max="55" width="25.6640625" customWidth="1"/>
    <col min="56" max="59" width="24.109375" customWidth="1"/>
    <col min="60" max="61" width="29.6640625" customWidth="1"/>
    <col min="62" max="65" width="25.21875" customWidth="1"/>
    <col min="66" max="67" width="32.109375" customWidth="1"/>
    <col min="68" max="71" width="25.21875" customWidth="1"/>
    <col min="72" max="73" width="32.33203125" customWidth="1"/>
    <col min="74" max="77" width="25.21875" customWidth="1"/>
    <col min="78" max="79" width="32.109375" customWidth="1"/>
    <col min="80" max="83" width="25.21875" customWidth="1"/>
    <col min="84" max="85" width="91.6640625" customWidth="1"/>
    <col min="86" max="89" width="26.33203125" customWidth="1"/>
    <col min="90" max="91" width="89.33203125" customWidth="1"/>
    <col min="92" max="95" width="26.33203125" customWidth="1"/>
    <col min="96" max="97" width="87.88671875" customWidth="1"/>
    <col min="98" max="101" width="26.33203125" customWidth="1"/>
    <col min="102" max="103" width="87" customWidth="1"/>
    <col min="104" max="107" width="26.33203125" customWidth="1"/>
    <col min="108" max="108" width="27" customWidth="1"/>
    <col min="109" max="109" width="71.33203125" customWidth="1"/>
  </cols>
  <sheetData>
    <row r="1" spans="1:109" ht="14.4" x14ac:dyDescent="0.3">
      <c r="A1" s="3" t="s">
        <v>6</v>
      </c>
      <c r="B1" s="222" t="s">
        <v>468</v>
      </c>
      <c r="C1" s="3" t="s">
        <v>9</v>
      </c>
      <c r="D1" s="222" t="s">
        <v>469</v>
      </c>
      <c r="E1" s="222" t="s">
        <v>470</v>
      </c>
      <c r="F1" s="3" t="s">
        <v>10</v>
      </c>
      <c r="G1" s="222" t="s">
        <v>471</v>
      </c>
      <c r="H1" s="217" t="s">
        <v>11</v>
      </c>
      <c r="I1" s="224" t="s">
        <v>484</v>
      </c>
      <c r="J1" s="224" t="s">
        <v>458</v>
      </c>
      <c r="K1" s="224" t="s">
        <v>497</v>
      </c>
      <c r="L1" s="3" t="s">
        <v>12</v>
      </c>
      <c r="M1" s="222" t="s">
        <v>472</v>
      </c>
      <c r="N1" s="216" t="s">
        <v>13</v>
      </c>
      <c r="O1" s="223" t="s">
        <v>485</v>
      </c>
      <c r="P1" s="223" t="s">
        <v>458</v>
      </c>
      <c r="Q1" s="223" t="s">
        <v>497</v>
      </c>
      <c r="R1" s="3" t="s">
        <v>14</v>
      </c>
      <c r="S1" s="222" t="s">
        <v>473</v>
      </c>
      <c r="T1" s="217" t="s">
        <v>15</v>
      </c>
      <c r="U1" s="224" t="s">
        <v>486</v>
      </c>
      <c r="V1" s="224" t="s">
        <v>458</v>
      </c>
      <c r="W1" s="224" t="s">
        <v>497</v>
      </c>
      <c r="X1" s="3" t="s">
        <v>16</v>
      </c>
      <c r="Y1" s="222" t="s">
        <v>474</v>
      </c>
      <c r="Z1" s="217" t="s">
        <v>17</v>
      </c>
      <c r="AA1" s="224" t="s">
        <v>487</v>
      </c>
      <c r="AB1" s="224" t="s">
        <v>458</v>
      </c>
      <c r="AC1" s="224" t="s">
        <v>497</v>
      </c>
      <c r="AD1" s="3" t="s">
        <v>18</v>
      </c>
      <c r="AE1" s="222" t="s">
        <v>475</v>
      </c>
      <c r="AF1" s="217" t="s">
        <v>19</v>
      </c>
      <c r="AG1" s="224" t="s">
        <v>488</v>
      </c>
      <c r="AH1" s="224" t="s">
        <v>458</v>
      </c>
      <c r="AI1" s="224" t="s">
        <v>497</v>
      </c>
      <c r="AJ1" s="3" t="s">
        <v>20</v>
      </c>
      <c r="AK1" s="222" t="s">
        <v>476</v>
      </c>
      <c r="AL1" s="217" t="s">
        <v>21</v>
      </c>
      <c r="AM1" s="224" t="s">
        <v>489</v>
      </c>
      <c r="AN1" s="224" t="s">
        <v>458</v>
      </c>
      <c r="AO1" s="224" t="s">
        <v>497</v>
      </c>
      <c r="AP1" s="3" t="s">
        <v>22</v>
      </c>
      <c r="AQ1" s="222" t="s">
        <v>477</v>
      </c>
      <c r="AR1" s="217" t="s">
        <v>23</v>
      </c>
      <c r="AS1" s="224" t="s">
        <v>490</v>
      </c>
      <c r="AT1" s="224" t="s">
        <v>458</v>
      </c>
      <c r="AU1" s="224" t="s">
        <v>497</v>
      </c>
      <c r="AV1" s="3" t="s">
        <v>24</v>
      </c>
      <c r="AW1" s="222" t="s">
        <v>478</v>
      </c>
      <c r="AX1" s="217" t="s">
        <v>25</v>
      </c>
      <c r="AY1" s="224" t="s">
        <v>491</v>
      </c>
      <c r="AZ1" s="224" t="s">
        <v>458</v>
      </c>
      <c r="BA1" s="224" t="s">
        <v>497</v>
      </c>
      <c r="BB1" s="3" t="s">
        <v>26</v>
      </c>
      <c r="BC1" s="222" t="s">
        <v>479</v>
      </c>
      <c r="BD1" s="217" t="s">
        <v>27</v>
      </c>
      <c r="BE1" s="224" t="s">
        <v>492</v>
      </c>
      <c r="BF1" s="224" t="s">
        <v>458</v>
      </c>
      <c r="BG1" s="224" t="s">
        <v>497</v>
      </c>
      <c r="BH1" s="3" t="s">
        <v>28</v>
      </c>
      <c r="BI1" s="222" t="s">
        <v>480</v>
      </c>
      <c r="BJ1" s="217" t="s">
        <v>29</v>
      </c>
      <c r="BK1" s="224" t="s">
        <v>493</v>
      </c>
      <c r="BL1" s="224" t="s">
        <v>458</v>
      </c>
      <c r="BM1" s="224" t="s">
        <v>497</v>
      </c>
      <c r="BN1" s="3" t="s">
        <v>30</v>
      </c>
      <c r="BO1" s="222" t="s">
        <v>481</v>
      </c>
      <c r="BP1" s="217" t="s">
        <v>31</v>
      </c>
      <c r="BQ1" s="224" t="s">
        <v>494</v>
      </c>
      <c r="BR1" s="224" t="s">
        <v>458</v>
      </c>
      <c r="BS1" s="224" t="s">
        <v>497</v>
      </c>
      <c r="BT1" s="3" t="s">
        <v>32</v>
      </c>
      <c r="BU1" s="222" t="s">
        <v>482</v>
      </c>
      <c r="BV1" s="217" t="s">
        <v>33</v>
      </c>
      <c r="BW1" s="224" t="s">
        <v>495</v>
      </c>
      <c r="BX1" s="224" t="s">
        <v>458</v>
      </c>
      <c r="BY1" s="224" t="s">
        <v>497</v>
      </c>
      <c r="BZ1" s="3" t="s">
        <v>34</v>
      </c>
      <c r="CA1" s="222" t="s">
        <v>483</v>
      </c>
      <c r="CB1" s="217" t="s">
        <v>35</v>
      </c>
      <c r="CC1" s="224" t="s">
        <v>496</v>
      </c>
      <c r="CD1" s="224" t="s">
        <v>458</v>
      </c>
      <c r="CE1" s="224" t="s">
        <v>497</v>
      </c>
      <c r="CF1" s="3" t="s">
        <v>36</v>
      </c>
      <c r="CG1" s="222" t="s">
        <v>498</v>
      </c>
      <c r="CH1" s="3" t="s">
        <v>37</v>
      </c>
      <c r="CI1" s="222" t="s">
        <v>502</v>
      </c>
      <c r="CJ1" s="222" t="s">
        <v>506</v>
      </c>
      <c r="CK1" s="222" t="s">
        <v>507</v>
      </c>
      <c r="CL1" s="3" t="s">
        <v>38</v>
      </c>
      <c r="CM1" s="222" t="s">
        <v>499</v>
      </c>
      <c r="CN1" s="3" t="s">
        <v>39</v>
      </c>
      <c r="CO1" s="222" t="s">
        <v>503</v>
      </c>
      <c r="CP1" s="222" t="s">
        <v>506</v>
      </c>
      <c r="CQ1" s="222" t="s">
        <v>507</v>
      </c>
      <c r="CR1" s="3" t="s">
        <v>40</v>
      </c>
      <c r="CS1" s="222" t="s">
        <v>500</v>
      </c>
      <c r="CT1" s="3" t="s">
        <v>41</v>
      </c>
      <c r="CU1" s="222" t="s">
        <v>504</v>
      </c>
      <c r="CV1" s="222" t="s">
        <v>506</v>
      </c>
      <c r="CW1" s="222" t="s">
        <v>507</v>
      </c>
      <c r="CX1" s="3" t="s">
        <v>42</v>
      </c>
      <c r="CY1" s="222" t="s">
        <v>501</v>
      </c>
      <c r="CZ1" s="3" t="s">
        <v>43</v>
      </c>
      <c r="DA1" s="222" t="s">
        <v>505</v>
      </c>
      <c r="DB1" s="222" t="s">
        <v>506</v>
      </c>
      <c r="DC1" s="222" t="s">
        <v>507</v>
      </c>
      <c r="DD1" s="3" t="s">
        <v>44</v>
      </c>
      <c r="DE1" s="3" t="s">
        <v>45</v>
      </c>
    </row>
    <row r="2" spans="1:109" ht="14.4" x14ac:dyDescent="0.3">
      <c r="A2" s="4" t="s">
        <v>46</v>
      </c>
      <c r="B2" s="4" t="str">
        <f>IFERROR(VLOOKUP(A2,'ATP - RSAs'!$A:$A,1,FALSE),"#N/A")</f>
        <v>Unbranded Condition</v>
      </c>
      <c r="C2" s="4" t="s">
        <v>46</v>
      </c>
      <c r="D2" s="4" t="str">
        <f>IFERROR(VLOOKUP(C2,'ATP - RSAs'!$B:$B,1,FALSE),"#N/A")</f>
        <v>Unbranded Condition</v>
      </c>
      <c r="E2" s="4" t="str">
        <f t="shared" ref="E2:E23" si="0">CONCATENATE(A2, " ", C2)</f>
        <v>Unbranded Condition Unbranded Condition</v>
      </c>
      <c r="F2" s="218" t="s">
        <v>49</v>
      </c>
      <c r="G2" s="218" t="str">
        <f>IFERROR(VLOOKUP(F2,'ATP - RSAs'!$C:$C,1,FALSE),"#N/A")</f>
        <v>Treatment Option For 3L+ DLBCL</v>
      </c>
      <c r="H2" s="219">
        <v>1</v>
      </c>
      <c r="I2" s="219">
        <f>IFERROR(VLOOKUP(H2,'ATP - RSAs'!$E:$E,1,FALSE),"#N/A")</f>
        <v>1</v>
      </c>
      <c r="J2" s="219" t="str">
        <f t="shared" ref="J2:J23" si="1">CONCATENATE($E2, " ", F2, " ", H2)</f>
        <v>Unbranded Condition Unbranded Condition Treatment Option For 3L+ DLBCL 1</v>
      </c>
      <c r="K2" s="219" t="e">
        <f>VLOOKUP(J2,'ATP - RSAs'!$N:$N,1,FALSE)</f>
        <v>#N/A</v>
      </c>
      <c r="L2" s="218" t="s">
        <v>50</v>
      </c>
      <c r="M2" s="218" t="str">
        <f>IFERROR(VLOOKUP(L2,'ATP - RSAs'!$C:$C,1,FALSE),"#N/A")</f>
        <v>Download The Patient Brochure</v>
      </c>
      <c r="N2" s="219" t="s">
        <v>51</v>
      </c>
      <c r="O2" s="219" t="str">
        <f>IFERROR(VLOOKUP(N2,'ATP - RSAs'!$E:$E,1,FALSE),"#N/A")</f>
        <v>2 or 3</v>
      </c>
      <c r="P2" s="219" t="str">
        <f t="shared" ref="P2:P23" si="2">CONCATENATE($E2, " ", L2, " ", N2)</f>
        <v>Unbranded Condition Unbranded Condition Download The Patient Brochure 2 or 3</v>
      </c>
      <c r="Q2" s="219" t="str">
        <f>VLOOKUP(P2,'ATP - RSAs'!$N:$N,1,FALSE)</f>
        <v>Unbranded Condition Unbranded Condition Download The Patient Brochure 2 or 3</v>
      </c>
      <c r="R2" s="218" t="s">
        <v>52</v>
      </c>
      <c r="S2" s="218" t="str">
        <f>IFERROR(VLOOKUP(R2,'ATP - RSAs'!$C:$C,1,FALSE),"#N/A")</f>
        <v>Resources For Patients</v>
      </c>
      <c r="T2" s="219" t="s">
        <v>51</v>
      </c>
      <c r="U2" s="219" t="str">
        <f>IFERROR(VLOOKUP(T2,'ATP - RSAs'!$E:$E,1,FALSE),"#N/A")</f>
        <v>2 or 3</v>
      </c>
      <c r="V2" s="219" t="str">
        <f t="shared" ref="V2:V23" si="3">CONCATENATE($E2, " ", R2, " ", T2)</f>
        <v>Unbranded Condition Unbranded Condition Resources For Patients 2 or 3</v>
      </c>
      <c r="W2" s="219" t="str">
        <f>VLOOKUP(V2,'ATP - RSAs'!$N:$N,1,FALSE)</f>
        <v>Unbranded Condition Unbranded Condition Resources For Patients 2 or 3</v>
      </c>
      <c r="X2" s="218" t="s">
        <v>53</v>
      </c>
      <c r="Y2" s="218" t="str">
        <f>IFERROR(VLOOKUP(X2,'ATP - RSAs'!$C:$C,1,FALSE),"#N/A")</f>
        <v>Financial Assistance Options</v>
      </c>
      <c r="Z2" s="219" t="s">
        <v>51</v>
      </c>
      <c r="AA2" s="219" t="str">
        <f>IFERROR(VLOOKUP(Z2,'ATP - RSAs'!$E:$E,1,FALSE),"#N/A")</f>
        <v>2 or 3</v>
      </c>
      <c r="AB2" s="219" t="str">
        <f t="shared" ref="AB2:AB23" si="4">CONCATENATE($E2, " ", X2, " ", Z2)</f>
        <v>Unbranded Condition Unbranded Condition Financial Assistance Options 2 or 3</v>
      </c>
      <c r="AC2" s="219" t="str">
        <f>VLOOKUP(AB2,'ATP - RSAs'!$N:$N,1,FALSE)</f>
        <v>Unbranded Condition Unbranded Condition Financial Assistance Options 2 or 3</v>
      </c>
      <c r="AD2" s="218" t="s">
        <v>54</v>
      </c>
      <c r="AE2" s="218" t="str">
        <f>IFERROR(VLOOKUP(AD2,'ATP - RSAs'!$C:$C,1,FALSE),"#N/A")</f>
        <v>Important Safety Information</v>
      </c>
      <c r="AF2" s="219" t="s">
        <v>51</v>
      </c>
      <c r="AG2" s="219" t="str">
        <f>IFERROR(VLOOKUP(AF2,'ATP - RSAs'!$E:$E,1,FALSE),"#N/A")</f>
        <v>2 or 3</v>
      </c>
      <c r="AH2" s="219" t="str">
        <f t="shared" ref="AH2:AH23" si="5">CONCATENATE($E2, " ", AD2, " ", AF2)</f>
        <v>Unbranded Condition Unbranded Condition Important Safety Information 2 or 3</v>
      </c>
      <c r="AI2" s="219" t="str">
        <f>VLOOKUP(AH2,'ATP - RSAs'!$N:$N,1,FALSE)</f>
        <v>Unbranded Condition Unbranded Condition Important Safety Information 2 or 3</v>
      </c>
      <c r="AJ2" s="218" t="s">
        <v>55</v>
      </c>
      <c r="AK2" s="218" t="str">
        <f>IFERROR(VLOOKUP(AJ2,'ATP - RSAs'!$C:$C,1,FALSE),"#N/A")</f>
        <v>Questions To Ask Your Doctor</v>
      </c>
      <c r="AL2" s="219" t="s">
        <v>51</v>
      </c>
      <c r="AM2" s="219" t="str">
        <f>IFERROR(VLOOKUP(AL2,'ATP - RSAs'!$E:$E,1,FALSE),"#N/A")</f>
        <v>2 or 3</v>
      </c>
      <c r="AN2" s="219" t="str">
        <f t="shared" ref="AN2:AN23" si="6">CONCATENATE($E2, " ", AJ2, " ", AL2)</f>
        <v>Unbranded Condition Unbranded Condition Questions To Ask Your Doctor 2 or 3</v>
      </c>
      <c r="AO2" s="219" t="str">
        <f>VLOOKUP(AN2,'ATP - RSAs'!$N:$N,1,FALSE)</f>
        <v>Unbranded Condition Unbranded Condition Questions To Ask Your Doctor 2 or 3</v>
      </c>
      <c r="AP2" s="218" t="s">
        <v>56</v>
      </c>
      <c r="AQ2" s="218" t="str">
        <f>IFERROR(VLOOKUP(AP2,'ATP - RSAs'!$C:$C,1,FALSE),"#N/A")</f>
        <v>DLBCL Infusion Therapy</v>
      </c>
      <c r="AR2" s="219" t="s">
        <v>51</v>
      </c>
      <c r="AS2" s="219" t="str">
        <f>IFERROR(VLOOKUP(AR2,'ATP - RSAs'!$E:$E,1,FALSE),"#N/A")</f>
        <v>2 or 3</v>
      </c>
      <c r="AT2" s="219" t="str">
        <f t="shared" ref="AT2:AT23" si="7">CONCATENATE($E2, " ", AP2, " ", AR2)</f>
        <v>Unbranded Condition Unbranded Condition DLBCL Infusion Therapy 2 or 3</v>
      </c>
      <c r="AU2" s="219" t="str">
        <f>VLOOKUP(AT2,'ATP - RSAs'!$N:$N,1,FALSE)</f>
        <v>Unbranded Condition Unbranded Condition DLBCL Infusion Therapy 2 or 3</v>
      </c>
      <c r="AV2" s="218" t="s">
        <v>57</v>
      </c>
      <c r="AW2" s="218" t="str">
        <f>IFERROR(VLOOKUP(AV2,'ATP - RSAs'!$C:$C,1,FALSE),"#N/A")</f>
        <v>Clinical Trial Results</v>
      </c>
      <c r="AX2" s="219" t="s">
        <v>51</v>
      </c>
      <c r="AY2" s="219" t="str">
        <f>IFERROR(VLOOKUP(AX2,'ATP - RSAs'!$E:$E,1,FALSE),"#N/A")</f>
        <v>2 or 3</v>
      </c>
      <c r="AZ2" s="219" t="str">
        <f t="shared" ref="AZ2:AZ23" si="8">CONCATENATE($E2, " ", AV2, " ", AX2)</f>
        <v>Unbranded Condition Unbranded Condition Clinical Trial Results 2 or 3</v>
      </c>
      <c r="BA2" s="219" t="str">
        <f>VLOOKUP(AZ2,'ATP - RSAs'!$N:$N,1,FALSE)</f>
        <v>Unbranded Condition Unbranded Condition Clinical Trial Results 2 or 3</v>
      </c>
      <c r="BB2" s="218" t="s">
        <v>58</v>
      </c>
      <c r="BC2" s="218" t="str">
        <f>IFERROR(VLOOKUP(BB2,'ATP - RSAs'!$C:$C,1,FALSE),"#N/A")</f>
        <v>Information For Patients</v>
      </c>
      <c r="BD2" s="219" t="s">
        <v>51</v>
      </c>
      <c r="BE2" s="219" t="str">
        <f>IFERROR(VLOOKUP(BD2,'ATP - RSAs'!$E:$E,1,FALSE),"#N/A")</f>
        <v>2 or 3</v>
      </c>
      <c r="BF2" s="219" t="str">
        <f t="shared" ref="BF2:BF23" si="9">CONCATENATE($E2, " ", BB2, " ", BD2)</f>
        <v>Unbranded Condition Unbranded Condition Information For Patients 2 or 3</v>
      </c>
      <c r="BG2" s="219" t="str">
        <f>VLOOKUP(BF2,'ATP - RSAs'!$N:$N,1,FALSE)</f>
        <v>Unbranded Condition Unbranded Condition Information For Patients 2 or 3</v>
      </c>
      <c r="BH2" s="218" t="s">
        <v>59</v>
      </c>
      <c r="BI2" s="218" t="str">
        <f>IFERROR(VLOOKUP(BH2,'ATP - RSAs'!$C:$C,1,FALSE),"#N/A")</f>
        <v>Efficacy &amp; Safety Information</v>
      </c>
      <c r="BJ2" s="219" t="s">
        <v>51</v>
      </c>
      <c r="BK2" s="219" t="str">
        <f>IFERROR(VLOOKUP(BJ2,'ATP - RSAs'!$E:$E,1,FALSE),"#N/A")</f>
        <v>2 or 3</v>
      </c>
      <c r="BL2" s="219" t="str">
        <f t="shared" ref="BL2:BL23" si="10">CONCATENATE($E2, " ", BH2, " ", BJ2)</f>
        <v>Unbranded Condition Unbranded Condition Efficacy &amp; Safety Information 2 or 3</v>
      </c>
      <c r="BM2" s="219" t="str">
        <f>VLOOKUP(BL2,'ATP - RSAs'!$N:$N,1,FALSE)</f>
        <v>Unbranded Condition Unbranded Condition Efficacy &amp; Safety Information 2 or 3</v>
      </c>
      <c r="BN2" s="218" t="s">
        <v>60</v>
      </c>
      <c r="BO2" s="218" t="str">
        <f>IFERROR(VLOOKUP(BN2,'ATP - RSAs'!$C:$C,1,FALSE),"#N/A")</f>
        <v>About DLBCL</v>
      </c>
      <c r="BP2" s="219" t="s">
        <v>51</v>
      </c>
      <c r="BQ2" s="219" t="str">
        <f>IFERROR(VLOOKUP(BP2,'ATP - RSAs'!$E:$E,1,FALSE),"#N/A")</f>
        <v>2 or 3</v>
      </c>
      <c r="BR2" s="219" t="str">
        <f t="shared" ref="BR2:BR23" si="11">CONCATENATE($E2, " ", BN2, " ", BP2)</f>
        <v>Unbranded Condition Unbranded Condition About DLBCL 2 or 3</v>
      </c>
      <c r="BS2" s="219" t="str">
        <f>VLOOKUP(BR2,'ATP - RSAs'!$N:$N,1,FALSE)</f>
        <v>Unbranded Condition Unbranded Condition About DLBCL 2 or 3</v>
      </c>
      <c r="BT2" s="218" t="s">
        <v>61</v>
      </c>
      <c r="BU2" s="218" t="str">
        <f>IFERROR(VLOOKUP(BT2,'ATP - RSAs'!$C:$C,1,FALSE),"#N/A")</f>
        <v>3L+ DLBCL Treatment Support</v>
      </c>
      <c r="BV2" s="219" t="s">
        <v>51</v>
      </c>
      <c r="BW2" s="219" t="str">
        <f>IFERROR(VLOOKUP(BV2,'ATP - RSAs'!$E:$E,1,FALSE),"#N/A")</f>
        <v>2 or 3</v>
      </c>
      <c r="BX2" s="219" t="str">
        <f t="shared" ref="BX2:BX23" si="12">CONCATENATE($E2, " ", BT2, " ", BV2)</f>
        <v>Unbranded Condition Unbranded Condition 3L+ DLBCL Treatment Support 2 or 3</v>
      </c>
      <c r="BY2" s="219" t="str">
        <f>VLOOKUP(BX2,'ATP - RSAs'!$N:$N,1,FALSE)</f>
        <v>Unbranded Condition Unbranded Condition 3L+ DLBCL Treatment Support 2 or 3</v>
      </c>
      <c r="BZ2" s="218" t="s">
        <v>62</v>
      </c>
      <c r="CA2" s="218" t="str">
        <f>IFERROR(VLOOKUP(BZ2,'ATP - RSAs'!$C:$C,1,FALSE),"#N/A")</f>
        <v>3L+ DLBCL Patient Resources</v>
      </c>
      <c r="CB2" s="219" t="s">
        <v>51</v>
      </c>
      <c r="CC2" s="219" t="str">
        <f>IFERROR(VLOOKUP(CB2,'ATP - RSAs'!$E:$E,1,FALSE),"#N/A")</f>
        <v>2 or 3</v>
      </c>
      <c r="CD2" s="219" t="str">
        <f t="shared" ref="CD2:CD23" si="13">CONCATENATE($E2, " ", BZ2, " ", CB2)</f>
        <v>Unbranded Condition Unbranded Condition 3L+ DLBCL Patient Resources 2 or 3</v>
      </c>
      <c r="CE2" s="219" t="str">
        <f>VLOOKUP(CD2,'ATP - RSAs'!$N:$N,1,FALSE)</f>
        <v>Unbranded Condition Unbranded Condition 3L+ DLBCL Patient Resources 2 or 3</v>
      </c>
      <c r="CF2" s="218" t="s">
        <v>63</v>
      </c>
      <c r="CG2" s="218" t="str">
        <f>IFERROR(VLOOKUP(CF2,'ATP - RSAs'!$F:$F,1,FALSE),"#N/A")</f>
        <v>Discover A Fixed-Duration Treatment Option For 3L+ DLBCL And View Important Safety Info.</v>
      </c>
      <c r="CH2" s="219" t="s">
        <v>64</v>
      </c>
      <c r="CI2" s="219" t="str">
        <f>IFERROR(VLOOKUP(CH2,'ATP - RSAs'!$H:$H,1,FALSE),"#N/A")</f>
        <v>Any</v>
      </c>
      <c r="CJ2" s="219" t="str">
        <f t="shared" ref="CJ2:CJ23" si="14">CONCATENATE(CF2, " ", CH2)</f>
        <v>Discover A Fixed-Duration Treatment Option For 3L+ DLBCL And View Important Safety Info. Any</v>
      </c>
      <c r="CK2" s="219" t="str">
        <f>VLOOKUP(CJ2,'ATP - RSAs'!$O:$O,1,FALSE)</f>
        <v>Discover A Fixed-Duration Treatment Option For 3L+ DLBCL And View Important Safety Info. Any</v>
      </c>
      <c r="CL2" s="218" t="s">
        <v>65</v>
      </c>
      <c r="CM2" s="218" t="str">
        <f>IFERROR(VLOOKUP(CL2,'ATP - RSAs'!$F:$F,1,FALSE),"#N/A")</f>
        <v>Download The Patient Brochure To Learn More About A DLBCL Fixed-Duration Treatment.</v>
      </c>
      <c r="CN2" s="219" t="s">
        <v>64</v>
      </c>
      <c r="CO2" s="219" t="str">
        <f>IFERROR(VLOOKUP(CN2,'ATP - RSAs'!$H:$H,1,FALSE),"#N/A")</f>
        <v>Any</v>
      </c>
      <c r="CP2" s="219" t="str">
        <f t="shared" ref="CP2:CP23" si="15">CONCATENATE(CL2, " ", CN2)</f>
        <v>Download The Patient Brochure To Learn More About A DLBCL Fixed-Duration Treatment. Any</v>
      </c>
      <c r="CQ2" s="219" t="str">
        <f>VLOOKUP(CP2,'ATP - RSAs'!$O:$O,1,FALSE)</f>
        <v>Download The Patient Brochure To Learn More About A DLBCL Fixed-Duration Treatment. Any</v>
      </c>
      <c r="CR2" s="218" t="s">
        <v>66</v>
      </c>
      <c r="CS2" s="218" t="str">
        <f>IFERROR(VLOOKUP(CR2,'ATP - RSAs'!$F:$F,1,FALSE),"#N/A")</f>
        <v>Explore An Infusion Option For Diffuse Large B Cell Lymphoma &amp; View Clinical Results.</v>
      </c>
      <c r="CT2" s="219" t="s">
        <v>64</v>
      </c>
      <c r="CU2" s="219" t="str">
        <f>IFERROR(VLOOKUP(CT2,'ATP - RSAs'!$H:$H,1,FALSE),"#N/A")</f>
        <v>Any</v>
      </c>
      <c r="CV2" s="219" t="str">
        <f t="shared" ref="CV2:CV23" si="16">CONCATENATE(CR2, " ", CT2)</f>
        <v>Explore An Infusion Option For Diffuse Large B Cell Lymphoma &amp; View Clinical Results. Any</v>
      </c>
      <c r="CW2" s="219" t="str">
        <f>VLOOKUP(CV2,'ATP - RSAs'!$O:$O,1,FALSE)</f>
        <v>Explore An Infusion Option For Diffuse Large B Cell Lymphoma &amp; View Clinical Results. Any</v>
      </c>
      <c r="CX2" s="218" t="s">
        <v>67</v>
      </c>
      <c r="CY2" s="218" t="str">
        <f>IFERROR(VLOOKUP(CX2,'ATP - RSAs'!$F:$F,1,FALSE),"#N/A")</f>
        <v>Learn More About Starting Treatment For 3L+ DLBCL After Two Or More Prior Therapies</v>
      </c>
      <c r="CZ2" s="219" t="s">
        <v>64</v>
      </c>
      <c r="DA2" s="219" t="str">
        <f>IFERROR(VLOOKUP(CZ2,'ATP - RSAs'!$H:$H,1,FALSE),"#N/A")</f>
        <v>Any</v>
      </c>
      <c r="DB2" s="219" t="str">
        <f t="shared" ref="DB2:DB23" si="17">CONCATENATE(CX2, " ", CZ2)</f>
        <v>Learn More About Starting Treatment For 3L+ DLBCL After Two Or More Prior Therapies Any</v>
      </c>
      <c r="DC2" s="219" t="str">
        <f>VLOOKUP(DB2,'ATP - RSAs'!$O:$O,1,FALSE)</f>
        <v>Learn More About Starting Treatment For 3L+ DLBCL After Two Or More Prior Therapies Any</v>
      </c>
      <c r="DD2" s="218" t="s">
        <v>309</v>
      </c>
      <c r="DE2" s="218" t="s">
        <v>69</v>
      </c>
    </row>
    <row r="3" spans="1:109" ht="14.4" x14ac:dyDescent="0.3">
      <c r="A3" s="4" t="s">
        <v>46</v>
      </c>
      <c r="B3" s="4" t="str">
        <f>IFERROR(VLOOKUP(A3,'ATP - RSAs'!$A:$A,1,FALSE),"#N/A")</f>
        <v>Unbranded Condition</v>
      </c>
      <c r="C3" s="4" t="s">
        <v>71</v>
      </c>
      <c r="D3" s="4" t="str">
        <f>IFERROR(VLOOKUP(C3,'ATP - RSAs'!$B:$B,1,FALSE),"#N/A")</f>
        <v>Unbranded DLBCL Causes</v>
      </c>
      <c r="E3" s="4" t="str">
        <f t="shared" si="0"/>
        <v>Unbranded Condition Unbranded DLBCL Causes</v>
      </c>
      <c r="F3" s="218" t="s">
        <v>49</v>
      </c>
      <c r="G3" s="218" t="str">
        <f>IFERROR(VLOOKUP(F3,'ATP - RSAs'!$C:$C,1,FALSE),"#N/A")</f>
        <v>Treatment Option For 3L+ DLBCL</v>
      </c>
      <c r="H3" s="219">
        <v>1</v>
      </c>
      <c r="I3" s="219">
        <f>IFERROR(VLOOKUP(H3,'ATP - RSAs'!$E:$E,1,FALSE),"#N/A")</f>
        <v>1</v>
      </c>
      <c r="J3" s="219" t="str">
        <f t="shared" si="1"/>
        <v>Unbranded Condition Unbranded DLBCL Causes Treatment Option For 3L+ DLBCL 1</v>
      </c>
      <c r="K3" s="219" t="str">
        <f>VLOOKUP(J3,'ATP - RSAs'!$N:$N,1,FALSE)</f>
        <v>Unbranded Condition Unbranded DLBCL Causes Treatment Option For 3L+ DLBCL 1</v>
      </c>
      <c r="L3" s="218" t="s">
        <v>50</v>
      </c>
      <c r="M3" s="218" t="str">
        <f>IFERROR(VLOOKUP(L3,'ATP - RSAs'!$C:$C,1,FALSE),"#N/A")</f>
        <v>Download The Patient Brochure</v>
      </c>
      <c r="N3" s="219" t="s">
        <v>51</v>
      </c>
      <c r="O3" s="219" t="str">
        <f>IFERROR(VLOOKUP(N3,'ATP - RSAs'!$E:$E,1,FALSE),"#N/A")</f>
        <v>2 or 3</v>
      </c>
      <c r="P3" s="219" t="str">
        <f t="shared" si="2"/>
        <v>Unbranded Condition Unbranded DLBCL Causes Download The Patient Brochure 2 or 3</v>
      </c>
      <c r="Q3" s="219" t="str">
        <f>VLOOKUP(P3,'ATP - RSAs'!$N:$N,1,FALSE)</f>
        <v>Unbranded Condition Unbranded DLBCL Causes Download The Patient Brochure 2 or 3</v>
      </c>
      <c r="R3" s="218" t="s">
        <v>52</v>
      </c>
      <c r="S3" s="218" t="str">
        <f>IFERROR(VLOOKUP(R3,'ATP - RSAs'!$C:$C,1,FALSE),"#N/A")</f>
        <v>Resources For Patients</v>
      </c>
      <c r="T3" s="219" t="s">
        <v>51</v>
      </c>
      <c r="U3" s="219" t="str">
        <f>IFERROR(VLOOKUP(T3,'ATP - RSAs'!$E:$E,1,FALSE),"#N/A")</f>
        <v>2 or 3</v>
      </c>
      <c r="V3" s="219" t="str">
        <f t="shared" si="3"/>
        <v>Unbranded Condition Unbranded DLBCL Causes Resources For Patients 2 or 3</v>
      </c>
      <c r="W3" s="219" t="str">
        <f>VLOOKUP(V3,'ATP - RSAs'!$N:$N,1,FALSE)</f>
        <v>Unbranded Condition Unbranded DLBCL Causes Resources For Patients 2 or 3</v>
      </c>
      <c r="X3" s="218" t="s">
        <v>53</v>
      </c>
      <c r="Y3" s="218" t="str">
        <f>IFERROR(VLOOKUP(X3,'ATP - RSAs'!$C:$C,1,FALSE),"#N/A")</f>
        <v>Financial Assistance Options</v>
      </c>
      <c r="Z3" s="219" t="s">
        <v>51</v>
      </c>
      <c r="AA3" s="219" t="str">
        <f>IFERROR(VLOOKUP(Z3,'ATP - RSAs'!$E:$E,1,FALSE),"#N/A")</f>
        <v>2 or 3</v>
      </c>
      <c r="AB3" s="219" t="str">
        <f t="shared" si="4"/>
        <v>Unbranded Condition Unbranded DLBCL Causes Financial Assistance Options 2 or 3</v>
      </c>
      <c r="AC3" s="219" t="str">
        <f>VLOOKUP(AB3,'ATP - RSAs'!$N:$N,1,FALSE)</f>
        <v>Unbranded Condition Unbranded DLBCL Causes Financial Assistance Options 2 or 3</v>
      </c>
      <c r="AD3" s="218" t="s">
        <v>54</v>
      </c>
      <c r="AE3" s="218" t="str">
        <f>IFERROR(VLOOKUP(AD3,'ATP - RSAs'!$C:$C,1,FALSE),"#N/A")</f>
        <v>Important Safety Information</v>
      </c>
      <c r="AF3" s="219" t="s">
        <v>51</v>
      </c>
      <c r="AG3" s="219" t="str">
        <f>IFERROR(VLOOKUP(AF3,'ATP - RSAs'!$E:$E,1,FALSE),"#N/A")</f>
        <v>2 or 3</v>
      </c>
      <c r="AH3" s="219" t="str">
        <f t="shared" si="5"/>
        <v>Unbranded Condition Unbranded DLBCL Causes Important Safety Information 2 or 3</v>
      </c>
      <c r="AI3" s="219" t="str">
        <f>VLOOKUP(AH3,'ATP - RSAs'!$N:$N,1,FALSE)</f>
        <v>Unbranded Condition Unbranded DLBCL Causes Important Safety Information 2 or 3</v>
      </c>
      <c r="AJ3" s="218" t="s">
        <v>55</v>
      </c>
      <c r="AK3" s="218" t="str">
        <f>IFERROR(VLOOKUP(AJ3,'ATP - RSAs'!$C:$C,1,FALSE),"#N/A")</f>
        <v>Questions To Ask Your Doctor</v>
      </c>
      <c r="AL3" s="219" t="s">
        <v>51</v>
      </c>
      <c r="AM3" s="219" t="str">
        <f>IFERROR(VLOOKUP(AL3,'ATP - RSAs'!$E:$E,1,FALSE),"#N/A")</f>
        <v>2 or 3</v>
      </c>
      <c r="AN3" s="219" t="str">
        <f t="shared" si="6"/>
        <v>Unbranded Condition Unbranded DLBCL Causes Questions To Ask Your Doctor 2 or 3</v>
      </c>
      <c r="AO3" s="219" t="str">
        <f>VLOOKUP(AN3,'ATP - RSAs'!$N:$N,1,FALSE)</f>
        <v>Unbranded Condition Unbranded DLBCL Causes Questions To Ask Your Doctor 2 or 3</v>
      </c>
      <c r="AP3" s="218" t="s">
        <v>56</v>
      </c>
      <c r="AQ3" s="218" t="str">
        <f>IFERROR(VLOOKUP(AP3,'ATP - RSAs'!$C:$C,1,FALSE),"#N/A")</f>
        <v>DLBCL Infusion Therapy</v>
      </c>
      <c r="AR3" s="219" t="s">
        <v>51</v>
      </c>
      <c r="AS3" s="219" t="str">
        <f>IFERROR(VLOOKUP(AR3,'ATP - RSAs'!$E:$E,1,FALSE),"#N/A")</f>
        <v>2 or 3</v>
      </c>
      <c r="AT3" s="219" t="str">
        <f t="shared" si="7"/>
        <v>Unbranded Condition Unbranded DLBCL Causes DLBCL Infusion Therapy 2 or 3</v>
      </c>
      <c r="AU3" s="219" t="str">
        <f>VLOOKUP(AT3,'ATP - RSAs'!$N:$N,1,FALSE)</f>
        <v>Unbranded Condition Unbranded DLBCL Causes DLBCL Infusion Therapy 2 or 3</v>
      </c>
      <c r="AV3" s="218" t="s">
        <v>57</v>
      </c>
      <c r="AW3" s="218" t="str">
        <f>IFERROR(VLOOKUP(AV3,'ATP - RSAs'!$C:$C,1,FALSE),"#N/A")</f>
        <v>Clinical Trial Results</v>
      </c>
      <c r="AX3" s="219" t="s">
        <v>51</v>
      </c>
      <c r="AY3" s="219" t="str">
        <f>IFERROR(VLOOKUP(AX3,'ATP - RSAs'!$E:$E,1,FALSE),"#N/A")</f>
        <v>2 or 3</v>
      </c>
      <c r="AZ3" s="219" t="str">
        <f t="shared" si="8"/>
        <v>Unbranded Condition Unbranded DLBCL Causes Clinical Trial Results 2 or 3</v>
      </c>
      <c r="BA3" s="219" t="str">
        <f>VLOOKUP(AZ3,'ATP - RSAs'!$N:$N,1,FALSE)</f>
        <v>Unbranded Condition Unbranded DLBCL Causes Clinical Trial Results 2 or 3</v>
      </c>
      <c r="BB3" s="218" t="s">
        <v>58</v>
      </c>
      <c r="BC3" s="218" t="str">
        <f>IFERROR(VLOOKUP(BB3,'ATP - RSAs'!$C:$C,1,FALSE),"#N/A")</f>
        <v>Information For Patients</v>
      </c>
      <c r="BD3" s="219" t="s">
        <v>51</v>
      </c>
      <c r="BE3" s="219" t="str">
        <f>IFERROR(VLOOKUP(BD3,'ATP - RSAs'!$E:$E,1,FALSE),"#N/A")</f>
        <v>2 or 3</v>
      </c>
      <c r="BF3" s="219" t="str">
        <f t="shared" si="9"/>
        <v>Unbranded Condition Unbranded DLBCL Causes Information For Patients 2 or 3</v>
      </c>
      <c r="BG3" s="219" t="str">
        <f>VLOOKUP(BF3,'ATP - RSAs'!$N:$N,1,FALSE)</f>
        <v>Unbranded Condition Unbranded DLBCL Causes Information For Patients 2 or 3</v>
      </c>
      <c r="BH3" s="218" t="s">
        <v>59</v>
      </c>
      <c r="BI3" s="218" t="str">
        <f>IFERROR(VLOOKUP(BH3,'ATP - RSAs'!$C:$C,1,FALSE),"#N/A")</f>
        <v>Efficacy &amp; Safety Information</v>
      </c>
      <c r="BJ3" s="219" t="s">
        <v>51</v>
      </c>
      <c r="BK3" s="219" t="str">
        <f>IFERROR(VLOOKUP(BJ3,'ATP - RSAs'!$E:$E,1,FALSE),"#N/A")</f>
        <v>2 or 3</v>
      </c>
      <c r="BL3" s="219" t="str">
        <f t="shared" si="10"/>
        <v>Unbranded Condition Unbranded DLBCL Causes Efficacy &amp; Safety Information 2 or 3</v>
      </c>
      <c r="BM3" s="219" t="str">
        <f>VLOOKUP(BL3,'ATP - RSAs'!$N:$N,1,FALSE)</f>
        <v>Unbranded Condition Unbranded DLBCL Causes Efficacy &amp; Safety Information 2 or 3</v>
      </c>
      <c r="BN3" s="218" t="s">
        <v>72</v>
      </c>
      <c r="BO3" s="218" t="str">
        <f>IFERROR(VLOOKUP(BN3,'ATP - RSAs'!$C:$C,1,FALSE),"#N/A")</f>
        <v>Diffuse Large B-Cell Lymphoma</v>
      </c>
      <c r="BP3" s="219" t="s">
        <v>51</v>
      </c>
      <c r="BQ3" s="219" t="str">
        <f>IFERROR(VLOOKUP(BP3,'ATP - RSAs'!$E:$E,1,FALSE),"#N/A")</f>
        <v>2 or 3</v>
      </c>
      <c r="BR3" s="219" t="str">
        <f t="shared" si="11"/>
        <v>Unbranded Condition Unbranded DLBCL Causes Diffuse Large B-Cell Lymphoma 2 or 3</v>
      </c>
      <c r="BS3" s="219" t="str">
        <f>VLOOKUP(BR3,'ATP - RSAs'!$N:$N,1,FALSE)</f>
        <v>Unbranded Condition Unbranded DLBCL Causes Diffuse Large B-Cell Lymphoma 2 or 3</v>
      </c>
      <c r="BT3" s="218" t="s">
        <v>73</v>
      </c>
      <c r="BU3" s="218" t="str">
        <f>IFERROR(VLOOKUP(BT3,'ATP - RSAs'!$C:$C,1,FALSE),"#N/A")</f>
        <v>DLBCL Clinical Study Data</v>
      </c>
      <c r="BV3" s="219" t="s">
        <v>51</v>
      </c>
      <c r="BW3" s="219" t="str">
        <f>IFERROR(VLOOKUP(BV3,'ATP - RSAs'!$E:$E,1,FALSE),"#N/A")</f>
        <v>2 or 3</v>
      </c>
      <c r="BX3" s="219" t="str">
        <f t="shared" si="12"/>
        <v>Unbranded Condition Unbranded DLBCL Causes DLBCL Clinical Study Data 2 or 3</v>
      </c>
      <c r="BY3" s="219" t="str">
        <f>VLOOKUP(BX3,'ATP - RSAs'!$N:$N,1,FALSE)</f>
        <v>Unbranded Condition Unbranded DLBCL Causes DLBCL Clinical Study Data 2 or 3</v>
      </c>
      <c r="BZ3" s="218" t="s">
        <v>60</v>
      </c>
      <c r="CA3" s="218" t="str">
        <f>IFERROR(VLOOKUP(BZ3,'ATP - RSAs'!$C:$C,1,FALSE),"#N/A")</f>
        <v>About DLBCL</v>
      </c>
      <c r="CB3" s="219" t="s">
        <v>51</v>
      </c>
      <c r="CC3" s="219" t="str">
        <f>IFERROR(VLOOKUP(CB3,'ATP - RSAs'!$E:$E,1,FALSE),"#N/A")</f>
        <v>2 or 3</v>
      </c>
      <c r="CD3" s="219" t="str">
        <f t="shared" si="13"/>
        <v>Unbranded Condition Unbranded DLBCL Causes About DLBCL 2 or 3</v>
      </c>
      <c r="CE3" s="219" t="str">
        <f>VLOOKUP(CD3,'ATP - RSAs'!$N:$N,1,FALSE)</f>
        <v>Unbranded Condition Unbranded DLBCL Causes About DLBCL 2 or 3</v>
      </c>
      <c r="CF3" s="218" t="s">
        <v>63</v>
      </c>
      <c r="CG3" s="218" t="str">
        <f>IFERROR(VLOOKUP(CF3,'ATP - RSAs'!$F:$F,1,FALSE),"#N/A")</f>
        <v>Discover A Fixed-Duration Treatment Option For 3L+ DLBCL And View Important Safety Info.</v>
      </c>
      <c r="CH3" s="219" t="s">
        <v>64</v>
      </c>
      <c r="CI3" s="219" t="str">
        <f>IFERROR(VLOOKUP(CH3,'ATP - RSAs'!$H:$H,1,FALSE),"#N/A")</f>
        <v>Any</v>
      </c>
      <c r="CJ3" s="219" t="str">
        <f t="shared" si="14"/>
        <v>Discover A Fixed-Duration Treatment Option For 3L+ DLBCL And View Important Safety Info. Any</v>
      </c>
      <c r="CK3" s="219" t="str">
        <f>VLOOKUP(CJ3,'ATP - RSAs'!$O:$O,1,FALSE)</f>
        <v>Discover A Fixed-Duration Treatment Option For 3L+ DLBCL And View Important Safety Info. Any</v>
      </c>
      <c r="CL3" s="218" t="s">
        <v>65</v>
      </c>
      <c r="CM3" s="218" t="str">
        <f>IFERROR(VLOOKUP(CL3,'ATP - RSAs'!$F:$F,1,FALSE),"#N/A")</f>
        <v>Download The Patient Brochure To Learn More About A DLBCL Fixed-Duration Treatment.</v>
      </c>
      <c r="CN3" s="219" t="s">
        <v>64</v>
      </c>
      <c r="CO3" s="219" t="str">
        <f>IFERROR(VLOOKUP(CN3,'ATP - RSAs'!$H:$H,1,FALSE),"#N/A")</f>
        <v>Any</v>
      </c>
      <c r="CP3" s="219" t="str">
        <f t="shared" si="15"/>
        <v>Download The Patient Brochure To Learn More About A DLBCL Fixed-Duration Treatment. Any</v>
      </c>
      <c r="CQ3" s="219" t="str">
        <f>VLOOKUP(CP3,'ATP - RSAs'!$O:$O,1,FALSE)</f>
        <v>Download The Patient Brochure To Learn More About A DLBCL Fixed-Duration Treatment. Any</v>
      </c>
      <c r="CR3" s="218" t="s">
        <v>66</v>
      </c>
      <c r="CS3" s="218" t="str">
        <f>IFERROR(VLOOKUP(CR3,'ATP - RSAs'!$F:$F,1,FALSE),"#N/A")</f>
        <v>Explore An Infusion Option For Diffuse Large B Cell Lymphoma &amp; View Clinical Results.</v>
      </c>
      <c r="CT3" s="219" t="s">
        <v>64</v>
      </c>
      <c r="CU3" s="219" t="str">
        <f>IFERROR(VLOOKUP(CT3,'ATP - RSAs'!$H:$H,1,FALSE),"#N/A")</f>
        <v>Any</v>
      </c>
      <c r="CV3" s="219" t="str">
        <f t="shared" si="16"/>
        <v>Explore An Infusion Option For Diffuse Large B Cell Lymphoma &amp; View Clinical Results. Any</v>
      </c>
      <c r="CW3" s="219" t="str">
        <f>VLOOKUP(CV3,'ATP - RSAs'!$O:$O,1,FALSE)</f>
        <v>Explore An Infusion Option For Diffuse Large B Cell Lymphoma &amp; View Clinical Results. Any</v>
      </c>
      <c r="CX3" s="218" t="s">
        <v>74</v>
      </c>
      <c r="CY3" s="218" t="str">
        <f>IFERROR(VLOOKUP(CX3,'ATP - RSAs'!$F:$F,1,FALSE),"#N/A")</f>
        <v>Learn More About Starting Treatment For 3L+ DLBCL After Two Or More Prior Therapies.</v>
      </c>
      <c r="CZ3" s="219" t="s">
        <v>64</v>
      </c>
      <c r="DA3" s="219" t="str">
        <f>IFERROR(VLOOKUP(CZ3,'ATP - RSAs'!$H:$H,1,FALSE),"#N/A")</f>
        <v>Any</v>
      </c>
      <c r="DB3" s="219" t="str">
        <f t="shared" si="17"/>
        <v>Learn More About Starting Treatment For 3L+ DLBCL After Two Or More Prior Therapies. Any</v>
      </c>
      <c r="DC3" s="219" t="str">
        <f>VLOOKUP(DB3,'ATP - RSAs'!$O:$O,1,FALSE)</f>
        <v>Learn More About Starting Treatment For 3L+ DLBCL After Two Or More Prior Therapies. Any</v>
      </c>
      <c r="DD3" s="218" t="s">
        <v>309</v>
      </c>
      <c r="DE3" s="218" t="s">
        <v>69</v>
      </c>
    </row>
    <row r="4" spans="1:109" ht="14.4" x14ac:dyDescent="0.3">
      <c r="A4" s="4" t="s">
        <v>46</v>
      </c>
      <c r="B4" s="4" t="str">
        <f>IFERROR(VLOOKUP(A4,'ATP - RSAs'!$A:$A,1,FALSE),"#N/A")</f>
        <v>Unbranded Condition</v>
      </c>
      <c r="C4" s="4" t="s">
        <v>76</v>
      </c>
      <c r="D4" s="4" t="str">
        <f>IFERROR(VLOOKUP(C4,'ATP - RSAs'!$B:$B,1,FALSE),"#N/A")</f>
        <v>Unbranded DLBCL Diagnosis</v>
      </c>
      <c r="E4" s="4" t="str">
        <f t="shared" si="0"/>
        <v>Unbranded Condition Unbranded DLBCL Diagnosis</v>
      </c>
      <c r="F4" s="218" t="s">
        <v>49</v>
      </c>
      <c r="G4" s="218" t="str">
        <f>IFERROR(VLOOKUP(F4,'ATP - RSAs'!$C:$C,1,FALSE),"#N/A")</f>
        <v>Treatment Option For 3L+ DLBCL</v>
      </c>
      <c r="H4" s="219">
        <v>1</v>
      </c>
      <c r="I4" s="219">
        <f>IFERROR(VLOOKUP(H4,'ATP - RSAs'!$E:$E,1,FALSE),"#N/A")</f>
        <v>1</v>
      </c>
      <c r="J4" s="219" t="str">
        <f t="shared" si="1"/>
        <v>Unbranded Condition Unbranded DLBCL Diagnosis Treatment Option For 3L+ DLBCL 1</v>
      </c>
      <c r="K4" s="219" t="str">
        <f>VLOOKUP(J4,'ATP - RSAs'!$N:$N,1,FALSE)</f>
        <v>Unbranded Condition Unbranded DLBCL Diagnosis Treatment Option For 3L+ DLBCL 1</v>
      </c>
      <c r="L4" s="218" t="s">
        <v>50</v>
      </c>
      <c r="M4" s="218" t="str">
        <f>IFERROR(VLOOKUP(L4,'ATP - RSAs'!$C:$C,1,FALSE),"#N/A")</f>
        <v>Download The Patient Brochure</v>
      </c>
      <c r="N4" s="219" t="s">
        <v>51</v>
      </c>
      <c r="O4" s="219" t="str">
        <f>IFERROR(VLOOKUP(N4,'ATP - RSAs'!$E:$E,1,FALSE),"#N/A")</f>
        <v>2 or 3</v>
      </c>
      <c r="P4" s="219" t="str">
        <f t="shared" si="2"/>
        <v>Unbranded Condition Unbranded DLBCL Diagnosis Download The Patient Brochure 2 or 3</v>
      </c>
      <c r="Q4" s="219" t="str">
        <f>VLOOKUP(P4,'ATP - RSAs'!$N:$N,1,FALSE)</f>
        <v>Unbranded Condition Unbranded DLBCL Diagnosis Download The Patient Brochure 2 or 3</v>
      </c>
      <c r="R4" s="218" t="s">
        <v>52</v>
      </c>
      <c r="S4" s="218" t="str">
        <f>IFERROR(VLOOKUP(R4,'ATP - RSAs'!$C:$C,1,FALSE),"#N/A")</f>
        <v>Resources For Patients</v>
      </c>
      <c r="T4" s="219" t="s">
        <v>51</v>
      </c>
      <c r="U4" s="219" t="str">
        <f>IFERROR(VLOOKUP(T4,'ATP - RSAs'!$E:$E,1,FALSE),"#N/A")</f>
        <v>2 or 3</v>
      </c>
      <c r="V4" s="219" t="str">
        <f t="shared" si="3"/>
        <v>Unbranded Condition Unbranded DLBCL Diagnosis Resources For Patients 2 or 3</v>
      </c>
      <c r="W4" s="219" t="str">
        <f>VLOOKUP(V4,'ATP - RSAs'!$N:$N,1,FALSE)</f>
        <v>Unbranded Condition Unbranded DLBCL Diagnosis Resources For Patients 2 or 3</v>
      </c>
      <c r="X4" s="218" t="s">
        <v>53</v>
      </c>
      <c r="Y4" s="218" t="str">
        <f>IFERROR(VLOOKUP(X4,'ATP - RSAs'!$C:$C,1,FALSE),"#N/A")</f>
        <v>Financial Assistance Options</v>
      </c>
      <c r="Z4" s="219" t="s">
        <v>51</v>
      </c>
      <c r="AA4" s="219" t="str">
        <f>IFERROR(VLOOKUP(Z4,'ATP - RSAs'!$E:$E,1,FALSE),"#N/A")</f>
        <v>2 or 3</v>
      </c>
      <c r="AB4" s="219" t="str">
        <f t="shared" si="4"/>
        <v>Unbranded Condition Unbranded DLBCL Diagnosis Financial Assistance Options 2 or 3</v>
      </c>
      <c r="AC4" s="219" t="str">
        <f>VLOOKUP(AB4,'ATP - RSAs'!$N:$N,1,FALSE)</f>
        <v>Unbranded Condition Unbranded DLBCL Diagnosis Financial Assistance Options 2 or 3</v>
      </c>
      <c r="AD4" s="218" t="s">
        <v>54</v>
      </c>
      <c r="AE4" s="218" t="str">
        <f>IFERROR(VLOOKUP(AD4,'ATP - RSAs'!$C:$C,1,FALSE),"#N/A")</f>
        <v>Important Safety Information</v>
      </c>
      <c r="AF4" s="219" t="s">
        <v>51</v>
      </c>
      <c r="AG4" s="219" t="str">
        <f>IFERROR(VLOOKUP(AF4,'ATP - RSAs'!$E:$E,1,FALSE),"#N/A")</f>
        <v>2 or 3</v>
      </c>
      <c r="AH4" s="219" t="str">
        <f t="shared" si="5"/>
        <v>Unbranded Condition Unbranded DLBCL Diagnosis Important Safety Information 2 or 3</v>
      </c>
      <c r="AI4" s="219" t="str">
        <f>VLOOKUP(AH4,'ATP - RSAs'!$N:$N,1,FALSE)</f>
        <v>Unbranded Condition Unbranded DLBCL Diagnosis Important Safety Information 2 or 3</v>
      </c>
      <c r="AJ4" s="218" t="s">
        <v>55</v>
      </c>
      <c r="AK4" s="218" t="str">
        <f>IFERROR(VLOOKUP(AJ4,'ATP - RSAs'!$C:$C,1,FALSE),"#N/A")</f>
        <v>Questions To Ask Your Doctor</v>
      </c>
      <c r="AL4" s="219" t="s">
        <v>51</v>
      </c>
      <c r="AM4" s="219" t="str">
        <f>IFERROR(VLOOKUP(AL4,'ATP - RSAs'!$E:$E,1,FALSE),"#N/A")</f>
        <v>2 or 3</v>
      </c>
      <c r="AN4" s="219" t="str">
        <f t="shared" si="6"/>
        <v>Unbranded Condition Unbranded DLBCL Diagnosis Questions To Ask Your Doctor 2 or 3</v>
      </c>
      <c r="AO4" s="219" t="str">
        <f>VLOOKUP(AN4,'ATP - RSAs'!$N:$N,1,FALSE)</f>
        <v>Unbranded Condition Unbranded DLBCL Diagnosis Questions To Ask Your Doctor 2 or 3</v>
      </c>
      <c r="AP4" s="218" t="s">
        <v>56</v>
      </c>
      <c r="AQ4" s="218" t="str">
        <f>IFERROR(VLOOKUP(AP4,'ATP - RSAs'!$C:$C,1,FALSE),"#N/A")</f>
        <v>DLBCL Infusion Therapy</v>
      </c>
      <c r="AR4" s="219" t="s">
        <v>51</v>
      </c>
      <c r="AS4" s="219" t="str">
        <f>IFERROR(VLOOKUP(AR4,'ATP - RSAs'!$E:$E,1,FALSE),"#N/A")</f>
        <v>2 or 3</v>
      </c>
      <c r="AT4" s="219" t="str">
        <f t="shared" si="7"/>
        <v>Unbranded Condition Unbranded DLBCL Diagnosis DLBCL Infusion Therapy 2 or 3</v>
      </c>
      <c r="AU4" s="219" t="str">
        <f>VLOOKUP(AT4,'ATP - RSAs'!$N:$N,1,FALSE)</f>
        <v>Unbranded Condition Unbranded DLBCL Diagnosis DLBCL Infusion Therapy 2 or 3</v>
      </c>
      <c r="AV4" s="218" t="s">
        <v>57</v>
      </c>
      <c r="AW4" s="218" t="str">
        <f>IFERROR(VLOOKUP(AV4,'ATP - RSAs'!$C:$C,1,FALSE),"#N/A")</f>
        <v>Clinical Trial Results</v>
      </c>
      <c r="AX4" s="219" t="s">
        <v>51</v>
      </c>
      <c r="AY4" s="219" t="str">
        <f>IFERROR(VLOOKUP(AX4,'ATP - RSAs'!$E:$E,1,FALSE),"#N/A")</f>
        <v>2 or 3</v>
      </c>
      <c r="AZ4" s="219" t="str">
        <f t="shared" si="8"/>
        <v>Unbranded Condition Unbranded DLBCL Diagnosis Clinical Trial Results 2 or 3</v>
      </c>
      <c r="BA4" s="219" t="str">
        <f>VLOOKUP(AZ4,'ATP - RSAs'!$N:$N,1,FALSE)</f>
        <v>Unbranded Condition Unbranded DLBCL Diagnosis Clinical Trial Results 2 or 3</v>
      </c>
      <c r="BB4" s="218" t="s">
        <v>58</v>
      </c>
      <c r="BC4" s="218" t="str">
        <f>IFERROR(VLOOKUP(BB4,'ATP - RSAs'!$C:$C,1,FALSE),"#N/A")</f>
        <v>Information For Patients</v>
      </c>
      <c r="BD4" s="219" t="s">
        <v>51</v>
      </c>
      <c r="BE4" s="219" t="str">
        <f>IFERROR(VLOOKUP(BD4,'ATP - RSAs'!$E:$E,1,FALSE),"#N/A")</f>
        <v>2 or 3</v>
      </c>
      <c r="BF4" s="219" t="str">
        <f t="shared" si="9"/>
        <v>Unbranded Condition Unbranded DLBCL Diagnosis Information For Patients 2 or 3</v>
      </c>
      <c r="BG4" s="219" t="str">
        <f>VLOOKUP(BF4,'ATP - RSAs'!$N:$N,1,FALSE)</f>
        <v>Unbranded Condition Unbranded DLBCL Diagnosis Information For Patients 2 or 3</v>
      </c>
      <c r="BH4" s="218" t="s">
        <v>59</v>
      </c>
      <c r="BI4" s="218" t="str">
        <f>IFERROR(VLOOKUP(BH4,'ATP - RSAs'!$C:$C,1,FALSE),"#N/A")</f>
        <v>Efficacy &amp; Safety Information</v>
      </c>
      <c r="BJ4" s="219" t="s">
        <v>51</v>
      </c>
      <c r="BK4" s="219" t="str">
        <f>IFERROR(VLOOKUP(BJ4,'ATP - RSAs'!$E:$E,1,FALSE),"#N/A")</f>
        <v>2 or 3</v>
      </c>
      <c r="BL4" s="219" t="str">
        <f t="shared" si="10"/>
        <v>Unbranded Condition Unbranded DLBCL Diagnosis Efficacy &amp; Safety Information 2 or 3</v>
      </c>
      <c r="BM4" s="219" t="str">
        <f>VLOOKUP(BL4,'ATP - RSAs'!$N:$N,1,FALSE)</f>
        <v>Unbranded Condition Unbranded DLBCL Diagnosis Efficacy &amp; Safety Information 2 or 3</v>
      </c>
      <c r="BN4" s="218" t="s">
        <v>72</v>
      </c>
      <c r="BO4" s="218" t="str">
        <f>IFERROR(VLOOKUP(BN4,'ATP - RSAs'!$C:$C,1,FALSE),"#N/A")</f>
        <v>Diffuse Large B-Cell Lymphoma</v>
      </c>
      <c r="BP4" s="219" t="s">
        <v>51</v>
      </c>
      <c r="BQ4" s="219" t="str">
        <f>IFERROR(VLOOKUP(BP4,'ATP - RSAs'!$E:$E,1,FALSE),"#N/A")</f>
        <v>2 or 3</v>
      </c>
      <c r="BR4" s="219" t="str">
        <f t="shared" si="11"/>
        <v>Unbranded Condition Unbranded DLBCL Diagnosis Diffuse Large B-Cell Lymphoma 2 or 3</v>
      </c>
      <c r="BS4" s="219" t="str">
        <f>VLOOKUP(BR4,'ATP - RSAs'!$N:$N,1,FALSE)</f>
        <v>Unbranded Condition Unbranded DLBCL Diagnosis Diffuse Large B-Cell Lymphoma 2 or 3</v>
      </c>
      <c r="BT4" s="218" t="s">
        <v>61</v>
      </c>
      <c r="BU4" s="218" t="str">
        <f>IFERROR(VLOOKUP(BT4,'ATP - RSAs'!$C:$C,1,FALSE),"#N/A")</f>
        <v>3L+ DLBCL Treatment Support</v>
      </c>
      <c r="BV4" s="219" t="s">
        <v>51</v>
      </c>
      <c r="BW4" s="219" t="str">
        <f>IFERROR(VLOOKUP(BV4,'ATP - RSAs'!$E:$E,1,FALSE),"#N/A")</f>
        <v>2 or 3</v>
      </c>
      <c r="BX4" s="219" t="str">
        <f t="shared" si="12"/>
        <v>Unbranded Condition Unbranded DLBCL Diagnosis 3L+ DLBCL Treatment Support 2 or 3</v>
      </c>
      <c r="BY4" s="219" t="str">
        <f>VLOOKUP(BX4,'ATP - RSAs'!$N:$N,1,FALSE)</f>
        <v>Unbranded Condition Unbranded DLBCL Diagnosis 3L+ DLBCL Treatment Support 2 or 3</v>
      </c>
      <c r="BZ4" s="218" t="s">
        <v>62</v>
      </c>
      <c r="CA4" s="218" t="str">
        <f>IFERROR(VLOOKUP(BZ4,'ATP - RSAs'!$C:$C,1,FALSE),"#N/A")</f>
        <v>3L+ DLBCL Patient Resources</v>
      </c>
      <c r="CB4" s="219" t="s">
        <v>51</v>
      </c>
      <c r="CC4" s="219" t="str">
        <f>IFERROR(VLOOKUP(CB4,'ATP - RSAs'!$E:$E,1,FALSE),"#N/A")</f>
        <v>2 or 3</v>
      </c>
      <c r="CD4" s="219" t="str">
        <f t="shared" si="13"/>
        <v>Unbranded Condition Unbranded DLBCL Diagnosis 3L+ DLBCL Patient Resources 2 or 3</v>
      </c>
      <c r="CE4" s="219" t="str">
        <f>VLOOKUP(CD4,'ATP - RSAs'!$N:$N,1,FALSE)</f>
        <v>Unbranded Condition Unbranded DLBCL Diagnosis 3L+ DLBCL Patient Resources 2 or 3</v>
      </c>
      <c r="CF4" s="218" t="s">
        <v>63</v>
      </c>
      <c r="CG4" s="218" t="str">
        <f>IFERROR(VLOOKUP(CF4,'ATP - RSAs'!$F:$F,1,FALSE),"#N/A")</f>
        <v>Discover A Fixed-Duration Treatment Option For 3L+ DLBCL And View Important Safety Info.</v>
      </c>
      <c r="CH4" s="219" t="s">
        <v>64</v>
      </c>
      <c r="CI4" s="219" t="str">
        <f>IFERROR(VLOOKUP(CH4,'ATP - RSAs'!$H:$H,1,FALSE),"#N/A")</f>
        <v>Any</v>
      </c>
      <c r="CJ4" s="219" t="str">
        <f t="shared" si="14"/>
        <v>Discover A Fixed-Duration Treatment Option For 3L+ DLBCL And View Important Safety Info. Any</v>
      </c>
      <c r="CK4" s="219" t="str">
        <f>VLOOKUP(CJ4,'ATP - RSAs'!$O:$O,1,FALSE)</f>
        <v>Discover A Fixed-Duration Treatment Option For 3L+ DLBCL And View Important Safety Info. Any</v>
      </c>
      <c r="CL4" s="218" t="s">
        <v>65</v>
      </c>
      <c r="CM4" s="218" t="str">
        <f>IFERROR(VLOOKUP(CL4,'ATP - RSAs'!$F:$F,1,FALSE),"#N/A")</f>
        <v>Download The Patient Brochure To Learn More About A DLBCL Fixed-Duration Treatment.</v>
      </c>
      <c r="CN4" s="219" t="s">
        <v>64</v>
      </c>
      <c r="CO4" s="219" t="str">
        <f>IFERROR(VLOOKUP(CN4,'ATP - RSAs'!$H:$H,1,FALSE),"#N/A")</f>
        <v>Any</v>
      </c>
      <c r="CP4" s="219" t="str">
        <f t="shared" si="15"/>
        <v>Download The Patient Brochure To Learn More About A DLBCL Fixed-Duration Treatment. Any</v>
      </c>
      <c r="CQ4" s="219" t="str">
        <f>VLOOKUP(CP4,'ATP - RSAs'!$O:$O,1,FALSE)</f>
        <v>Download The Patient Brochure To Learn More About A DLBCL Fixed-Duration Treatment. Any</v>
      </c>
      <c r="CR4" s="218" t="s">
        <v>66</v>
      </c>
      <c r="CS4" s="218" t="str">
        <f>IFERROR(VLOOKUP(CR4,'ATP - RSAs'!$F:$F,1,FALSE),"#N/A")</f>
        <v>Explore An Infusion Option For Diffuse Large B Cell Lymphoma &amp; View Clinical Results.</v>
      </c>
      <c r="CT4" s="219" t="s">
        <v>64</v>
      </c>
      <c r="CU4" s="219" t="str">
        <f>IFERROR(VLOOKUP(CT4,'ATP - RSAs'!$H:$H,1,FALSE),"#N/A")</f>
        <v>Any</v>
      </c>
      <c r="CV4" s="219" t="str">
        <f t="shared" si="16"/>
        <v>Explore An Infusion Option For Diffuse Large B Cell Lymphoma &amp; View Clinical Results. Any</v>
      </c>
      <c r="CW4" s="219" t="str">
        <f>VLOOKUP(CV4,'ATP - RSAs'!$O:$O,1,FALSE)</f>
        <v>Explore An Infusion Option For Diffuse Large B Cell Lymphoma &amp; View Clinical Results. Any</v>
      </c>
      <c r="CX4" s="218" t="s">
        <v>74</v>
      </c>
      <c r="CY4" s="218" t="str">
        <f>IFERROR(VLOOKUP(CX4,'ATP - RSAs'!$F:$F,1,FALSE),"#N/A")</f>
        <v>Learn More About Starting Treatment For 3L+ DLBCL After Two Or More Prior Therapies.</v>
      </c>
      <c r="CZ4" s="219" t="s">
        <v>64</v>
      </c>
      <c r="DA4" s="219" t="str">
        <f>IFERROR(VLOOKUP(CZ4,'ATP - RSAs'!$H:$H,1,FALSE),"#N/A")</f>
        <v>Any</v>
      </c>
      <c r="DB4" s="219" t="str">
        <f t="shared" si="17"/>
        <v>Learn More About Starting Treatment For 3L+ DLBCL After Two Or More Prior Therapies. Any</v>
      </c>
      <c r="DC4" s="219" t="str">
        <f>VLOOKUP(DB4,'ATP - RSAs'!$O:$O,1,FALSE)</f>
        <v>Learn More About Starting Treatment For 3L+ DLBCL After Two Or More Prior Therapies. Any</v>
      </c>
      <c r="DD4" s="218" t="s">
        <v>309</v>
      </c>
      <c r="DE4" s="218" t="s">
        <v>69</v>
      </c>
    </row>
    <row r="5" spans="1:109" ht="14.4" x14ac:dyDescent="0.3">
      <c r="A5" s="4" t="s">
        <v>46</v>
      </c>
      <c r="B5" s="4" t="str">
        <f>IFERROR(VLOOKUP(A5,'ATP - RSAs'!$A:$A,1,FALSE),"#N/A")</f>
        <v>Unbranded Condition</v>
      </c>
      <c r="C5" s="4" t="s">
        <v>78</v>
      </c>
      <c r="D5" s="4" t="str">
        <f>IFERROR(VLOOKUP(C5,'ATP - RSAs'!$B:$B,1,FALSE),"#N/A")</f>
        <v>Unbranded DLBCL Resources</v>
      </c>
      <c r="E5" s="4" t="str">
        <f t="shared" si="0"/>
        <v>Unbranded Condition Unbranded DLBCL Resources</v>
      </c>
      <c r="F5" s="218" t="s">
        <v>49</v>
      </c>
      <c r="G5" s="218" t="str">
        <f>IFERROR(VLOOKUP(F5,'ATP - RSAs'!$C:$C,1,FALSE),"#N/A")</f>
        <v>Treatment Option For 3L+ DLBCL</v>
      </c>
      <c r="H5" s="219">
        <v>1</v>
      </c>
      <c r="I5" s="219">
        <f>IFERROR(VLOOKUP(H5,'ATP - RSAs'!$E:$E,1,FALSE),"#N/A")</f>
        <v>1</v>
      </c>
      <c r="J5" s="219" t="str">
        <f t="shared" si="1"/>
        <v>Unbranded Condition Unbranded DLBCL Resources Treatment Option For 3L+ DLBCL 1</v>
      </c>
      <c r="K5" s="219" t="str">
        <f>VLOOKUP(J5,'ATP - RSAs'!$N:$N,1,FALSE)</f>
        <v>Unbranded Condition Unbranded DLBCL Resources Treatment Option For 3L+ DLBCL 1</v>
      </c>
      <c r="L5" s="218" t="s">
        <v>50</v>
      </c>
      <c r="M5" s="218" t="str">
        <f>IFERROR(VLOOKUP(L5,'ATP - RSAs'!$C:$C,1,FALSE),"#N/A")</f>
        <v>Download The Patient Brochure</v>
      </c>
      <c r="N5" s="219" t="s">
        <v>51</v>
      </c>
      <c r="O5" s="219" t="str">
        <f>IFERROR(VLOOKUP(N5,'ATP - RSAs'!$E:$E,1,FALSE),"#N/A")</f>
        <v>2 or 3</v>
      </c>
      <c r="P5" s="219" t="str">
        <f t="shared" si="2"/>
        <v>Unbranded Condition Unbranded DLBCL Resources Download The Patient Brochure 2 or 3</v>
      </c>
      <c r="Q5" s="219" t="str">
        <f>VLOOKUP(P5,'ATP - RSAs'!$N:$N,1,FALSE)</f>
        <v>Unbranded Condition Unbranded DLBCL Resources Download The Patient Brochure 2 or 3</v>
      </c>
      <c r="R5" s="218" t="s">
        <v>52</v>
      </c>
      <c r="S5" s="218" t="str">
        <f>IFERROR(VLOOKUP(R5,'ATP - RSAs'!$C:$C,1,FALSE),"#N/A")</f>
        <v>Resources For Patients</v>
      </c>
      <c r="T5" s="219" t="s">
        <v>51</v>
      </c>
      <c r="U5" s="219" t="str">
        <f>IFERROR(VLOOKUP(T5,'ATP - RSAs'!$E:$E,1,FALSE),"#N/A")</f>
        <v>2 or 3</v>
      </c>
      <c r="V5" s="219" t="str">
        <f t="shared" si="3"/>
        <v>Unbranded Condition Unbranded DLBCL Resources Resources For Patients 2 or 3</v>
      </c>
      <c r="W5" s="219" t="str">
        <f>VLOOKUP(V5,'ATP - RSAs'!$N:$N,1,FALSE)</f>
        <v>Unbranded Condition Unbranded DLBCL Resources Resources For Patients 2 or 3</v>
      </c>
      <c r="X5" s="218" t="s">
        <v>53</v>
      </c>
      <c r="Y5" s="218" t="str">
        <f>IFERROR(VLOOKUP(X5,'ATP - RSAs'!$C:$C,1,FALSE),"#N/A")</f>
        <v>Financial Assistance Options</v>
      </c>
      <c r="Z5" s="219" t="s">
        <v>51</v>
      </c>
      <c r="AA5" s="219" t="str">
        <f>IFERROR(VLOOKUP(Z5,'ATP - RSAs'!$E:$E,1,FALSE),"#N/A")</f>
        <v>2 or 3</v>
      </c>
      <c r="AB5" s="219" t="str">
        <f t="shared" si="4"/>
        <v>Unbranded Condition Unbranded DLBCL Resources Financial Assistance Options 2 or 3</v>
      </c>
      <c r="AC5" s="219" t="str">
        <f>VLOOKUP(AB5,'ATP - RSAs'!$N:$N,1,FALSE)</f>
        <v>Unbranded Condition Unbranded DLBCL Resources Financial Assistance Options 2 or 3</v>
      </c>
      <c r="AD5" s="218" t="s">
        <v>54</v>
      </c>
      <c r="AE5" s="218" t="str">
        <f>IFERROR(VLOOKUP(AD5,'ATP - RSAs'!$C:$C,1,FALSE),"#N/A")</f>
        <v>Important Safety Information</v>
      </c>
      <c r="AF5" s="219" t="s">
        <v>51</v>
      </c>
      <c r="AG5" s="219" t="str">
        <f>IFERROR(VLOOKUP(AF5,'ATP - RSAs'!$E:$E,1,FALSE),"#N/A")</f>
        <v>2 or 3</v>
      </c>
      <c r="AH5" s="219" t="str">
        <f t="shared" si="5"/>
        <v>Unbranded Condition Unbranded DLBCL Resources Important Safety Information 2 or 3</v>
      </c>
      <c r="AI5" s="219" t="str">
        <f>VLOOKUP(AH5,'ATP - RSAs'!$N:$N,1,FALSE)</f>
        <v>Unbranded Condition Unbranded DLBCL Resources Important Safety Information 2 or 3</v>
      </c>
      <c r="AJ5" s="218" t="s">
        <v>55</v>
      </c>
      <c r="AK5" s="218" t="str">
        <f>IFERROR(VLOOKUP(AJ5,'ATP - RSAs'!$C:$C,1,FALSE),"#N/A")</f>
        <v>Questions To Ask Your Doctor</v>
      </c>
      <c r="AL5" s="219" t="s">
        <v>51</v>
      </c>
      <c r="AM5" s="219" t="str">
        <f>IFERROR(VLOOKUP(AL5,'ATP - RSAs'!$E:$E,1,FALSE),"#N/A")</f>
        <v>2 or 3</v>
      </c>
      <c r="AN5" s="219" t="str">
        <f t="shared" si="6"/>
        <v>Unbranded Condition Unbranded DLBCL Resources Questions To Ask Your Doctor 2 or 3</v>
      </c>
      <c r="AO5" s="219" t="str">
        <f>VLOOKUP(AN5,'ATP - RSAs'!$N:$N,1,FALSE)</f>
        <v>Unbranded Condition Unbranded DLBCL Resources Questions To Ask Your Doctor 2 or 3</v>
      </c>
      <c r="AP5" s="218" t="s">
        <v>56</v>
      </c>
      <c r="AQ5" s="218" t="str">
        <f>IFERROR(VLOOKUP(AP5,'ATP - RSAs'!$C:$C,1,FALSE),"#N/A")</f>
        <v>DLBCL Infusion Therapy</v>
      </c>
      <c r="AR5" s="219" t="s">
        <v>51</v>
      </c>
      <c r="AS5" s="219" t="str">
        <f>IFERROR(VLOOKUP(AR5,'ATP - RSAs'!$E:$E,1,FALSE),"#N/A")</f>
        <v>2 or 3</v>
      </c>
      <c r="AT5" s="219" t="str">
        <f t="shared" si="7"/>
        <v>Unbranded Condition Unbranded DLBCL Resources DLBCL Infusion Therapy 2 or 3</v>
      </c>
      <c r="AU5" s="219" t="str">
        <f>VLOOKUP(AT5,'ATP - RSAs'!$N:$N,1,FALSE)</f>
        <v>Unbranded Condition Unbranded DLBCL Resources DLBCL Infusion Therapy 2 or 3</v>
      </c>
      <c r="AV5" s="218" t="s">
        <v>79</v>
      </c>
      <c r="AW5" s="218" t="str">
        <f>IFERROR(VLOOKUP(AV5,'ATP - RSAs'!$C:$C,1,FALSE),"#N/A")</f>
        <v>Downloadable Resources</v>
      </c>
      <c r="AX5" s="219" t="s">
        <v>51</v>
      </c>
      <c r="AY5" s="219" t="str">
        <f>IFERROR(VLOOKUP(AX5,'ATP - RSAs'!$E:$E,1,FALSE),"#N/A")</f>
        <v>2 or 3</v>
      </c>
      <c r="AZ5" s="219" t="str">
        <f t="shared" si="8"/>
        <v>Unbranded Condition Unbranded DLBCL Resources Downloadable Resources 2 or 3</v>
      </c>
      <c r="BA5" s="219" t="str">
        <f>VLOOKUP(AZ5,'ATP - RSAs'!$N:$N,1,FALSE)</f>
        <v>Unbranded Condition Unbranded DLBCL Resources Downloadable Resources 2 or 3</v>
      </c>
      <c r="BB5" s="218" t="s">
        <v>58</v>
      </c>
      <c r="BC5" s="218" t="str">
        <f>IFERROR(VLOOKUP(BB5,'ATP - RSAs'!$C:$C,1,FALSE),"#N/A")</f>
        <v>Information For Patients</v>
      </c>
      <c r="BD5" s="219" t="s">
        <v>51</v>
      </c>
      <c r="BE5" s="219" t="str">
        <f>IFERROR(VLOOKUP(BD5,'ATP - RSAs'!$E:$E,1,FALSE),"#N/A")</f>
        <v>2 or 3</v>
      </c>
      <c r="BF5" s="219" t="str">
        <f t="shared" si="9"/>
        <v>Unbranded Condition Unbranded DLBCL Resources Information For Patients 2 or 3</v>
      </c>
      <c r="BG5" s="219" t="str">
        <f>VLOOKUP(BF5,'ATP - RSAs'!$N:$N,1,FALSE)</f>
        <v>Unbranded Condition Unbranded DLBCL Resources Information For Patients 2 or 3</v>
      </c>
      <c r="BH5" s="218" t="s">
        <v>59</v>
      </c>
      <c r="BI5" s="218" t="str">
        <f>IFERROR(VLOOKUP(BH5,'ATP - RSAs'!$C:$C,1,FALSE),"#N/A")</f>
        <v>Efficacy &amp; Safety Information</v>
      </c>
      <c r="BJ5" s="219" t="s">
        <v>51</v>
      </c>
      <c r="BK5" s="219" t="str">
        <f>IFERROR(VLOOKUP(BJ5,'ATP - RSAs'!$E:$E,1,FALSE),"#N/A")</f>
        <v>2 or 3</v>
      </c>
      <c r="BL5" s="219" t="str">
        <f t="shared" si="10"/>
        <v>Unbranded Condition Unbranded DLBCL Resources Efficacy &amp; Safety Information 2 or 3</v>
      </c>
      <c r="BM5" s="219" t="str">
        <f>VLOOKUP(BL5,'ATP - RSAs'!$N:$N,1,FALSE)</f>
        <v>Unbranded Condition Unbranded DLBCL Resources Efficacy &amp; Safety Information 2 or 3</v>
      </c>
      <c r="BN5" s="218" t="s">
        <v>80</v>
      </c>
      <c r="BO5" s="218" t="str">
        <f>IFERROR(VLOOKUP(BN5,'ATP - RSAs'!$C:$C,1,FALSE),"#N/A")</f>
        <v>Infusion Information Sheet</v>
      </c>
      <c r="BP5" s="219" t="s">
        <v>51</v>
      </c>
      <c r="BQ5" s="219" t="str">
        <f>IFERROR(VLOOKUP(BP5,'ATP - RSAs'!$E:$E,1,FALSE),"#N/A")</f>
        <v>2 or 3</v>
      </c>
      <c r="BR5" s="219" t="str">
        <f t="shared" si="11"/>
        <v>Unbranded Condition Unbranded DLBCL Resources Infusion Information Sheet 2 or 3</v>
      </c>
      <c r="BS5" s="219" t="str">
        <f>VLOOKUP(BR5,'ATP - RSAs'!$N:$N,1,FALSE)</f>
        <v>Unbranded Condition Unbranded DLBCL Resources Infusion Information Sheet 2 or 3</v>
      </c>
      <c r="BT5" s="218" t="s">
        <v>61</v>
      </c>
      <c r="BU5" s="218" t="str">
        <f>IFERROR(VLOOKUP(BT5,'ATP - RSAs'!$C:$C,1,FALSE),"#N/A")</f>
        <v>3L+ DLBCL Treatment Support</v>
      </c>
      <c r="BV5" s="219" t="s">
        <v>51</v>
      </c>
      <c r="BW5" s="219" t="str">
        <f>IFERROR(VLOOKUP(BV5,'ATP - RSAs'!$E:$E,1,FALSE),"#N/A")</f>
        <v>2 or 3</v>
      </c>
      <c r="BX5" s="219" t="str">
        <f t="shared" si="12"/>
        <v>Unbranded Condition Unbranded DLBCL Resources 3L+ DLBCL Treatment Support 2 or 3</v>
      </c>
      <c r="BY5" s="219" t="str">
        <f>VLOOKUP(BX5,'ATP - RSAs'!$N:$N,1,FALSE)</f>
        <v>Unbranded Condition Unbranded DLBCL Resources 3L+ DLBCL Treatment Support 2 or 3</v>
      </c>
      <c r="BZ5" s="218" t="s">
        <v>62</v>
      </c>
      <c r="CA5" s="218" t="str">
        <f>IFERROR(VLOOKUP(BZ5,'ATP - RSAs'!$C:$C,1,FALSE),"#N/A")</f>
        <v>3L+ DLBCL Patient Resources</v>
      </c>
      <c r="CB5" s="219" t="s">
        <v>51</v>
      </c>
      <c r="CC5" s="219" t="str">
        <f>IFERROR(VLOOKUP(CB5,'ATP - RSAs'!$E:$E,1,FALSE),"#N/A")</f>
        <v>2 or 3</v>
      </c>
      <c r="CD5" s="219" t="str">
        <f t="shared" si="13"/>
        <v>Unbranded Condition Unbranded DLBCL Resources 3L+ DLBCL Patient Resources 2 or 3</v>
      </c>
      <c r="CE5" s="219" t="str">
        <f>VLOOKUP(CD5,'ATP - RSAs'!$N:$N,1,FALSE)</f>
        <v>Unbranded Condition Unbranded DLBCL Resources 3L+ DLBCL Patient Resources 2 or 3</v>
      </c>
      <c r="CF5" s="218" t="s">
        <v>63</v>
      </c>
      <c r="CG5" s="218" t="str">
        <f>IFERROR(VLOOKUP(CF5,'ATP - RSAs'!$F:$F,1,FALSE),"#N/A")</f>
        <v>Discover A Fixed-Duration Treatment Option For 3L+ DLBCL And View Important Safety Info.</v>
      </c>
      <c r="CH5" s="219" t="s">
        <v>64</v>
      </c>
      <c r="CI5" s="219" t="str">
        <f>IFERROR(VLOOKUP(CH5,'ATP - RSAs'!$H:$H,1,FALSE),"#N/A")</f>
        <v>Any</v>
      </c>
      <c r="CJ5" s="219" t="str">
        <f t="shared" si="14"/>
        <v>Discover A Fixed-Duration Treatment Option For 3L+ DLBCL And View Important Safety Info. Any</v>
      </c>
      <c r="CK5" s="219" t="str">
        <f>VLOOKUP(CJ5,'ATP - RSAs'!$O:$O,1,FALSE)</f>
        <v>Discover A Fixed-Duration Treatment Option For 3L+ DLBCL And View Important Safety Info. Any</v>
      </c>
      <c r="CL5" s="218" t="s">
        <v>65</v>
      </c>
      <c r="CM5" s="218" t="str">
        <f>IFERROR(VLOOKUP(CL5,'ATP - RSAs'!$F:$F,1,FALSE),"#N/A")</f>
        <v>Download The Patient Brochure To Learn More About A DLBCL Fixed-Duration Treatment.</v>
      </c>
      <c r="CN5" s="219" t="s">
        <v>64</v>
      </c>
      <c r="CO5" s="219" t="str">
        <f>IFERROR(VLOOKUP(CN5,'ATP - RSAs'!$H:$H,1,FALSE),"#N/A")</f>
        <v>Any</v>
      </c>
      <c r="CP5" s="219" t="str">
        <f t="shared" si="15"/>
        <v>Download The Patient Brochure To Learn More About A DLBCL Fixed-Duration Treatment. Any</v>
      </c>
      <c r="CQ5" s="219" t="str">
        <f>VLOOKUP(CP5,'ATP - RSAs'!$O:$O,1,FALSE)</f>
        <v>Download The Patient Brochure To Learn More About A DLBCL Fixed-Duration Treatment. Any</v>
      </c>
      <c r="CR5" s="218" t="s">
        <v>66</v>
      </c>
      <c r="CS5" s="218" t="str">
        <f>IFERROR(VLOOKUP(CR5,'ATP - RSAs'!$F:$F,1,FALSE),"#N/A")</f>
        <v>Explore An Infusion Option For Diffuse Large B Cell Lymphoma &amp; View Clinical Results.</v>
      </c>
      <c r="CT5" s="219" t="s">
        <v>64</v>
      </c>
      <c r="CU5" s="219" t="str">
        <f>IFERROR(VLOOKUP(CT5,'ATP - RSAs'!$H:$H,1,FALSE),"#N/A")</f>
        <v>Any</v>
      </c>
      <c r="CV5" s="219" t="str">
        <f t="shared" si="16"/>
        <v>Explore An Infusion Option For Diffuse Large B Cell Lymphoma &amp; View Clinical Results. Any</v>
      </c>
      <c r="CW5" s="219" t="str">
        <f>VLOOKUP(CV5,'ATP - RSAs'!$O:$O,1,FALSE)</f>
        <v>Explore An Infusion Option For Diffuse Large B Cell Lymphoma &amp; View Clinical Results. Any</v>
      </c>
      <c r="CX5" s="218" t="s">
        <v>74</v>
      </c>
      <c r="CY5" s="218" t="str">
        <f>IFERROR(VLOOKUP(CX5,'ATP - RSAs'!$F:$F,1,FALSE),"#N/A")</f>
        <v>Learn More About Starting Treatment For 3L+ DLBCL After Two Or More Prior Therapies.</v>
      </c>
      <c r="CZ5" s="219" t="s">
        <v>64</v>
      </c>
      <c r="DA5" s="219" t="str">
        <f>IFERROR(VLOOKUP(CZ5,'ATP - RSAs'!$H:$H,1,FALSE),"#N/A")</f>
        <v>Any</v>
      </c>
      <c r="DB5" s="219" t="str">
        <f t="shared" si="17"/>
        <v>Learn More About Starting Treatment For 3L+ DLBCL After Two Or More Prior Therapies. Any</v>
      </c>
      <c r="DC5" s="219" t="str">
        <f>VLOOKUP(DB5,'ATP - RSAs'!$O:$O,1,FALSE)</f>
        <v>Learn More About Starting Treatment For 3L+ DLBCL After Two Or More Prior Therapies. Any</v>
      </c>
      <c r="DD5" s="218" t="s">
        <v>309</v>
      </c>
      <c r="DE5" s="218" t="s">
        <v>81</v>
      </c>
    </row>
    <row r="6" spans="1:109" ht="14.4" x14ac:dyDescent="0.3">
      <c r="A6" s="4"/>
      <c r="B6" s="225" t="str">
        <f>IFERROR(VLOOKUP(A6,'ATP - RSAs'!$A:$A,1,FALSE),"#N/A")</f>
        <v>#N/A</v>
      </c>
      <c r="C6" s="4" t="s">
        <v>83</v>
      </c>
      <c r="D6" s="4" t="str">
        <f>IFERROR(VLOOKUP(C6,'ATP - RSAs'!$B:$B,1,FALSE),"#N/A")</f>
        <v>Unbranded DLBCL Financial Support</v>
      </c>
      <c r="E6" s="4" t="str">
        <f t="shared" si="0"/>
        <v xml:space="preserve"> Unbranded DLBCL Financial Support</v>
      </c>
      <c r="F6" s="218" t="s">
        <v>49</v>
      </c>
      <c r="G6" s="218" t="str">
        <f>IFERROR(VLOOKUP(F6,'ATP - RSAs'!$C:$C,1,FALSE),"#N/A")</f>
        <v>Treatment Option For 3L+ DLBCL</v>
      </c>
      <c r="H6" s="219">
        <v>1</v>
      </c>
      <c r="I6" s="219">
        <f>IFERROR(VLOOKUP(H6,'ATP - RSAs'!$E:$E,1,FALSE),"#N/A")</f>
        <v>1</v>
      </c>
      <c r="J6" s="219" t="str">
        <f t="shared" si="1"/>
        <v xml:space="preserve"> Unbranded DLBCL Financial Support Treatment Option For 3L+ DLBCL 1</v>
      </c>
      <c r="K6" s="219" t="e">
        <f>VLOOKUP(J6,'ATP - RSAs'!$N:$N,1,FALSE)</f>
        <v>#N/A</v>
      </c>
      <c r="L6" s="218" t="s">
        <v>50</v>
      </c>
      <c r="M6" s="218" t="str">
        <f>IFERROR(VLOOKUP(L6,'ATP - RSAs'!$C:$C,1,FALSE),"#N/A")</f>
        <v>Download The Patient Brochure</v>
      </c>
      <c r="N6" s="219" t="s">
        <v>51</v>
      </c>
      <c r="O6" s="219" t="str">
        <f>IFERROR(VLOOKUP(N6,'ATP - RSAs'!$E:$E,1,FALSE),"#N/A")</f>
        <v>2 or 3</v>
      </c>
      <c r="P6" s="219" t="str">
        <f t="shared" si="2"/>
        <v xml:space="preserve"> Unbranded DLBCL Financial Support Download The Patient Brochure 2 or 3</v>
      </c>
      <c r="Q6" s="219" t="e">
        <f>VLOOKUP(P6,'ATP - RSAs'!$N:$N,1,FALSE)</f>
        <v>#N/A</v>
      </c>
      <c r="R6" s="218" t="s">
        <v>52</v>
      </c>
      <c r="S6" s="218" t="str">
        <f>IFERROR(VLOOKUP(R6,'ATP - RSAs'!$C:$C,1,FALSE),"#N/A")</f>
        <v>Resources For Patients</v>
      </c>
      <c r="T6" s="219" t="s">
        <v>51</v>
      </c>
      <c r="U6" s="219" t="str">
        <f>IFERROR(VLOOKUP(T6,'ATP - RSAs'!$E:$E,1,FALSE),"#N/A")</f>
        <v>2 or 3</v>
      </c>
      <c r="V6" s="219" t="str">
        <f t="shared" si="3"/>
        <v xml:space="preserve"> Unbranded DLBCL Financial Support Resources For Patients 2 or 3</v>
      </c>
      <c r="W6" s="219" t="e">
        <f>VLOOKUP(V6,'ATP - RSAs'!$N:$N,1,FALSE)</f>
        <v>#N/A</v>
      </c>
      <c r="X6" s="218" t="s">
        <v>53</v>
      </c>
      <c r="Y6" s="218" t="str">
        <f>IFERROR(VLOOKUP(X6,'ATP - RSAs'!$C:$C,1,FALSE),"#N/A")</f>
        <v>Financial Assistance Options</v>
      </c>
      <c r="Z6" s="219" t="s">
        <v>51</v>
      </c>
      <c r="AA6" s="219" t="str">
        <f>IFERROR(VLOOKUP(Z6,'ATP - RSAs'!$E:$E,1,FALSE),"#N/A")</f>
        <v>2 or 3</v>
      </c>
      <c r="AB6" s="219" t="str">
        <f t="shared" si="4"/>
        <v xml:space="preserve"> Unbranded DLBCL Financial Support Financial Assistance Options 2 or 3</v>
      </c>
      <c r="AC6" s="219" t="e">
        <f>VLOOKUP(AB6,'ATP - RSAs'!$N:$N,1,FALSE)</f>
        <v>#N/A</v>
      </c>
      <c r="AD6" s="218" t="s">
        <v>54</v>
      </c>
      <c r="AE6" s="218" t="str">
        <f>IFERROR(VLOOKUP(AD6,'ATP - RSAs'!$C:$C,1,FALSE),"#N/A")</f>
        <v>Important Safety Information</v>
      </c>
      <c r="AF6" s="219" t="s">
        <v>51</v>
      </c>
      <c r="AG6" s="219" t="str">
        <f>IFERROR(VLOOKUP(AF6,'ATP - RSAs'!$E:$E,1,FALSE),"#N/A")</f>
        <v>2 or 3</v>
      </c>
      <c r="AH6" s="219" t="str">
        <f t="shared" si="5"/>
        <v xml:space="preserve"> Unbranded DLBCL Financial Support Important Safety Information 2 or 3</v>
      </c>
      <c r="AI6" s="219" t="e">
        <f>VLOOKUP(AH6,'ATP - RSAs'!$N:$N,1,FALSE)</f>
        <v>#N/A</v>
      </c>
      <c r="AJ6" s="218" t="s">
        <v>55</v>
      </c>
      <c r="AK6" s="218" t="str">
        <f>IFERROR(VLOOKUP(AJ6,'ATP - RSAs'!$C:$C,1,FALSE),"#N/A")</f>
        <v>Questions To Ask Your Doctor</v>
      </c>
      <c r="AL6" s="219" t="s">
        <v>51</v>
      </c>
      <c r="AM6" s="219" t="str">
        <f>IFERROR(VLOOKUP(AL6,'ATP - RSAs'!$E:$E,1,FALSE),"#N/A")</f>
        <v>2 or 3</v>
      </c>
      <c r="AN6" s="219" t="str">
        <f t="shared" si="6"/>
        <v xml:space="preserve"> Unbranded DLBCL Financial Support Questions To Ask Your Doctor 2 or 3</v>
      </c>
      <c r="AO6" s="219" t="e">
        <f>VLOOKUP(AN6,'ATP - RSAs'!$N:$N,1,FALSE)</f>
        <v>#N/A</v>
      </c>
      <c r="AP6" s="218" t="s">
        <v>56</v>
      </c>
      <c r="AQ6" s="218" t="str">
        <f>IFERROR(VLOOKUP(AP6,'ATP - RSAs'!$C:$C,1,FALSE),"#N/A")</f>
        <v>DLBCL Infusion Therapy</v>
      </c>
      <c r="AR6" s="219" t="s">
        <v>51</v>
      </c>
      <c r="AS6" s="219" t="str">
        <f>IFERROR(VLOOKUP(AR6,'ATP - RSAs'!$E:$E,1,FALSE),"#N/A")</f>
        <v>2 or 3</v>
      </c>
      <c r="AT6" s="219" t="str">
        <f t="shared" si="7"/>
        <v xml:space="preserve"> Unbranded DLBCL Financial Support DLBCL Infusion Therapy 2 or 3</v>
      </c>
      <c r="AU6" s="219" t="e">
        <f>VLOOKUP(AT6,'ATP - RSAs'!$N:$N,1,FALSE)</f>
        <v>#N/A</v>
      </c>
      <c r="AV6" s="218" t="s">
        <v>84</v>
      </c>
      <c r="AW6" s="218" t="str">
        <f>IFERROR(VLOOKUP(AV6,'ATP - RSAs'!$C:$C,1,FALSE),"#N/A")</f>
        <v>Financial Assistance Tool</v>
      </c>
      <c r="AX6" s="219" t="s">
        <v>51</v>
      </c>
      <c r="AY6" s="219" t="str">
        <f>IFERROR(VLOOKUP(AX6,'ATP - RSAs'!$E:$E,1,FALSE),"#N/A")</f>
        <v>2 or 3</v>
      </c>
      <c r="AZ6" s="219" t="str">
        <f t="shared" si="8"/>
        <v xml:space="preserve"> Unbranded DLBCL Financial Support Financial Assistance Tool 2 or 3</v>
      </c>
      <c r="BA6" s="219" t="e">
        <f>VLOOKUP(AZ6,'ATP - RSAs'!$N:$N,1,FALSE)</f>
        <v>#N/A</v>
      </c>
      <c r="BB6" s="218" t="s">
        <v>58</v>
      </c>
      <c r="BC6" s="218" t="str">
        <f>IFERROR(VLOOKUP(BB6,'ATP - RSAs'!$C:$C,1,FALSE),"#N/A")</f>
        <v>Information For Patients</v>
      </c>
      <c r="BD6" s="219" t="s">
        <v>51</v>
      </c>
      <c r="BE6" s="219" t="str">
        <f>IFERROR(VLOOKUP(BD6,'ATP - RSAs'!$E:$E,1,FALSE),"#N/A")</f>
        <v>2 or 3</v>
      </c>
      <c r="BF6" s="219" t="str">
        <f t="shared" si="9"/>
        <v xml:space="preserve"> Unbranded DLBCL Financial Support Information For Patients 2 or 3</v>
      </c>
      <c r="BG6" s="219" t="e">
        <f>VLOOKUP(BF6,'ATP - RSAs'!$N:$N,1,FALSE)</f>
        <v>#N/A</v>
      </c>
      <c r="BH6" s="218" t="s">
        <v>59</v>
      </c>
      <c r="BI6" s="218" t="str">
        <f>IFERROR(VLOOKUP(BH6,'ATP - RSAs'!$C:$C,1,FALSE),"#N/A")</f>
        <v>Efficacy &amp; Safety Information</v>
      </c>
      <c r="BJ6" s="219" t="s">
        <v>51</v>
      </c>
      <c r="BK6" s="219" t="str">
        <f>IFERROR(VLOOKUP(BJ6,'ATP - RSAs'!$E:$E,1,FALSE),"#N/A")</f>
        <v>2 or 3</v>
      </c>
      <c r="BL6" s="219" t="str">
        <f t="shared" si="10"/>
        <v xml:space="preserve"> Unbranded DLBCL Financial Support Efficacy &amp; Safety Information 2 or 3</v>
      </c>
      <c r="BM6" s="219" t="e">
        <f>VLOOKUP(BL6,'ATP - RSAs'!$N:$N,1,FALSE)</f>
        <v>#N/A</v>
      </c>
      <c r="BN6" s="218" t="s">
        <v>85</v>
      </c>
      <c r="BO6" s="218" t="str">
        <f>IFERROR(VLOOKUP(BN6,'ATP - RSAs'!$C:$C,1,FALSE),"#N/A")</f>
        <v>DLBCL Financial Support Info</v>
      </c>
      <c r="BP6" s="219" t="s">
        <v>51</v>
      </c>
      <c r="BQ6" s="219" t="str">
        <f>IFERROR(VLOOKUP(BP6,'ATP - RSAs'!$E:$E,1,FALSE),"#N/A")</f>
        <v>2 or 3</v>
      </c>
      <c r="BR6" s="219" t="str">
        <f t="shared" si="11"/>
        <v xml:space="preserve"> Unbranded DLBCL Financial Support DLBCL Financial Support Info 2 or 3</v>
      </c>
      <c r="BS6" s="219" t="e">
        <f>VLOOKUP(BR6,'ATP - RSAs'!$N:$N,1,FALSE)</f>
        <v>#N/A</v>
      </c>
      <c r="BT6" s="218" t="s">
        <v>62</v>
      </c>
      <c r="BU6" s="218" t="str">
        <f>IFERROR(VLOOKUP(BT6,'ATP - RSAs'!$C:$C,1,FALSE),"#N/A")</f>
        <v>3L+ DLBCL Patient Resources</v>
      </c>
      <c r="BV6" s="219" t="s">
        <v>51</v>
      </c>
      <c r="BW6" s="219" t="str">
        <f>IFERROR(VLOOKUP(BV6,'ATP - RSAs'!$E:$E,1,FALSE),"#N/A")</f>
        <v>2 or 3</v>
      </c>
      <c r="BX6" s="219" t="str">
        <f t="shared" si="12"/>
        <v xml:space="preserve"> Unbranded DLBCL Financial Support 3L+ DLBCL Patient Resources 2 or 3</v>
      </c>
      <c r="BY6" s="219" t="e">
        <f>VLOOKUP(BX6,'ATP - RSAs'!$N:$N,1,FALSE)</f>
        <v>#N/A</v>
      </c>
      <c r="BZ6" s="218" t="s">
        <v>86</v>
      </c>
      <c r="CA6" s="218" t="str">
        <f>IFERROR(VLOOKUP(BZ6,'ATP - RSAs'!$C:$C,1,FALSE),"#N/A")</f>
        <v>Apply For Financial Support</v>
      </c>
      <c r="CB6" s="219" t="s">
        <v>51</v>
      </c>
      <c r="CC6" s="219" t="str">
        <f>IFERROR(VLOOKUP(CB6,'ATP - RSAs'!$E:$E,1,FALSE),"#N/A")</f>
        <v>2 or 3</v>
      </c>
      <c r="CD6" s="219" t="str">
        <f t="shared" si="13"/>
        <v xml:space="preserve"> Unbranded DLBCL Financial Support Apply For Financial Support 2 or 3</v>
      </c>
      <c r="CE6" s="219" t="e">
        <f>VLOOKUP(CD6,'ATP - RSAs'!$N:$N,1,FALSE)</f>
        <v>#N/A</v>
      </c>
      <c r="CF6" s="218" t="s">
        <v>63</v>
      </c>
      <c r="CG6" s="218" t="str">
        <f>IFERROR(VLOOKUP(CF6,'ATP - RSAs'!$F:$F,1,FALSE),"#N/A")</f>
        <v>Discover A Fixed-Duration Treatment Option For 3L+ DLBCL And View Important Safety Info.</v>
      </c>
      <c r="CH6" s="219" t="s">
        <v>64</v>
      </c>
      <c r="CI6" s="219" t="str">
        <f>IFERROR(VLOOKUP(CH6,'ATP - RSAs'!$H:$H,1,FALSE),"#N/A")</f>
        <v>Any</v>
      </c>
      <c r="CJ6" s="219" t="str">
        <f t="shared" si="14"/>
        <v>Discover A Fixed-Duration Treatment Option For 3L+ DLBCL And View Important Safety Info. Any</v>
      </c>
      <c r="CK6" s="219" t="str">
        <f>VLOOKUP(CJ6,'ATP - RSAs'!$O:$O,1,FALSE)</f>
        <v>Discover A Fixed-Duration Treatment Option For 3L+ DLBCL And View Important Safety Info. Any</v>
      </c>
      <c r="CL6" s="218" t="s">
        <v>66</v>
      </c>
      <c r="CM6" s="218" t="str">
        <f>IFERROR(VLOOKUP(CL6,'ATP - RSAs'!$F:$F,1,FALSE),"#N/A")</f>
        <v>Explore An Infusion Option For Diffuse Large B Cell Lymphoma &amp; View Clinical Results.</v>
      </c>
      <c r="CN6" s="219" t="s">
        <v>64</v>
      </c>
      <c r="CO6" s="219" t="str">
        <f>IFERROR(VLOOKUP(CN6,'ATP - RSAs'!$H:$H,1,FALSE),"#N/A")</f>
        <v>Any</v>
      </c>
      <c r="CP6" s="219" t="str">
        <f t="shared" si="15"/>
        <v>Explore An Infusion Option For Diffuse Large B Cell Lymphoma &amp; View Clinical Results. Any</v>
      </c>
      <c r="CQ6" s="219" t="str">
        <f>VLOOKUP(CP6,'ATP - RSAs'!$O:$O,1,FALSE)</f>
        <v>Explore An Infusion Option For Diffuse Large B Cell Lymphoma &amp; View Clinical Results. Any</v>
      </c>
      <c r="CR6" s="218" t="s">
        <v>87</v>
      </c>
      <c r="CS6" s="218" t="str">
        <f>IFERROR(VLOOKUP(CR6,'ATP - RSAs'!$F:$F,1,FALSE),"#N/A")</f>
        <v>Use The Financial Assistance Tool To See Which Programs May Be Right For You.</v>
      </c>
      <c r="CT6" s="219" t="s">
        <v>64</v>
      </c>
      <c r="CU6" s="219" t="str">
        <f>IFERROR(VLOOKUP(CT6,'ATP - RSAs'!$H:$H,1,FALSE),"#N/A")</f>
        <v>Any</v>
      </c>
      <c r="CV6" s="219" t="str">
        <f t="shared" si="16"/>
        <v>Use The Financial Assistance Tool To See Which Programs May Be Right For You. Any</v>
      </c>
      <c r="CW6" s="219" t="str">
        <f>VLOOKUP(CV6,'ATP - RSAs'!$O:$O,1,FALSE)</f>
        <v>Use The Financial Assistance Tool To See Which Programs May Be Right For You. Any</v>
      </c>
      <c r="CX6" s="218" t="s">
        <v>74</v>
      </c>
      <c r="CY6" s="218" t="str">
        <f>IFERROR(VLOOKUP(CX6,'ATP - RSAs'!$F:$F,1,FALSE),"#N/A")</f>
        <v>Learn More About Starting Treatment For 3L+ DLBCL After Two Or More Prior Therapies.</v>
      </c>
      <c r="CZ6" s="219" t="s">
        <v>64</v>
      </c>
      <c r="DA6" s="219" t="str">
        <f>IFERROR(VLOOKUP(CZ6,'ATP - RSAs'!$H:$H,1,FALSE),"#N/A")</f>
        <v>Any</v>
      </c>
      <c r="DB6" s="219" t="str">
        <f t="shared" si="17"/>
        <v>Learn More About Starting Treatment For 3L+ DLBCL After Two Or More Prior Therapies. Any</v>
      </c>
      <c r="DC6" s="219" t="str">
        <f>VLOOKUP(DB6,'ATP - RSAs'!$O:$O,1,FALSE)</f>
        <v>Learn More About Starting Treatment For 3L+ DLBCL After Two Or More Prior Therapies. Any</v>
      </c>
      <c r="DD6" s="218" t="s">
        <v>309</v>
      </c>
      <c r="DE6" s="218" t="s">
        <v>88</v>
      </c>
    </row>
    <row r="7" spans="1:109" ht="14.4" x14ac:dyDescent="0.3">
      <c r="A7" s="4" t="s">
        <v>46</v>
      </c>
      <c r="B7" s="4" t="str">
        <f>IFERROR(VLOOKUP(A7,'ATP - RSAs'!$A:$A,1,FALSE),"#N/A")</f>
        <v>Unbranded Condition</v>
      </c>
      <c r="C7" s="4" t="s">
        <v>90</v>
      </c>
      <c r="D7" s="4" t="str">
        <f>IFERROR(VLOOKUP(C7,'ATP - RSAs'!$B:$B,1,FALSE),"#N/A")</f>
        <v>Unbranded DLBCL Results</v>
      </c>
      <c r="E7" s="4" t="str">
        <f t="shared" si="0"/>
        <v>Unbranded Condition Unbranded DLBCL Results</v>
      </c>
      <c r="F7" s="218" t="s">
        <v>49</v>
      </c>
      <c r="G7" s="218" t="str">
        <f>IFERROR(VLOOKUP(F7,'ATP - RSAs'!$C:$C,1,FALSE),"#N/A")</f>
        <v>Treatment Option For 3L+ DLBCL</v>
      </c>
      <c r="H7" s="219">
        <v>1</v>
      </c>
      <c r="I7" s="219">
        <f>IFERROR(VLOOKUP(H7,'ATP - RSAs'!$E:$E,1,FALSE),"#N/A")</f>
        <v>1</v>
      </c>
      <c r="J7" s="219" t="str">
        <f t="shared" si="1"/>
        <v>Unbranded Condition Unbranded DLBCL Results Treatment Option For 3L+ DLBCL 1</v>
      </c>
      <c r="K7" s="219" t="str">
        <f>VLOOKUP(J7,'ATP - RSAs'!$N:$N,1,FALSE)</f>
        <v>Unbranded Condition Unbranded DLBCL Results Treatment Option For 3L+ DLBCL 1</v>
      </c>
      <c r="L7" s="218" t="s">
        <v>50</v>
      </c>
      <c r="M7" s="218" t="str">
        <f>IFERROR(VLOOKUP(L7,'ATP - RSAs'!$C:$C,1,FALSE),"#N/A")</f>
        <v>Download The Patient Brochure</v>
      </c>
      <c r="N7" s="219" t="s">
        <v>51</v>
      </c>
      <c r="O7" s="219" t="str">
        <f>IFERROR(VLOOKUP(N7,'ATP - RSAs'!$E:$E,1,FALSE),"#N/A")</f>
        <v>2 or 3</v>
      </c>
      <c r="P7" s="219" t="str">
        <f t="shared" si="2"/>
        <v>Unbranded Condition Unbranded DLBCL Results Download The Patient Brochure 2 or 3</v>
      </c>
      <c r="Q7" s="219" t="str">
        <f>VLOOKUP(P7,'ATP - RSAs'!$N:$N,1,FALSE)</f>
        <v>Unbranded Condition Unbranded DLBCL Results Download The Patient Brochure 2 or 3</v>
      </c>
      <c r="R7" s="218" t="s">
        <v>52</v>
      </c>
      <c r="S7" s="218" t="str">
        <f>IFERROR(VLOOKUP(R7,'ATP - RSAs'!$C:$C,1,FALSE),"#N/A")</f>
        <v>Resources For Patients</v>
      </c>
      <c r="T7" s="219" t="s">
        <v>51</v>
      </c>
      <c r="U7" s="219" t="str">
        <f>IFERROR(VLOOKUP(T7,'ATP - RSAs'!$E:$E,1,FALSE),"#N/A")</f>
        <v>2 or 3</v>
      </c>
      <c r="V7" s="219" t="str">
        <f t="shared" si="3"/>
        <v>Unbranded Condition Unbranded DLBCL Results Resources For Patients 2 or 3</v>
      </c>
      <c r="W7" s="219" t="str">
        <f>VLOOKUP(V7,'ATP - RSAs'!$N:$N,1,FALSE)</f>
        <v>Unbranded Condition Unbranded DLBCL Results Resources For Patients 2 or 3</v>
      </c>
      <c r="X7" s="218" t="s">
        <v>53</v>
      </c>
      <c r="Y7" s="218" t="str">
        <f>IFERROR(VLOOKUP(X7,'ATP - RSAs'!$C:$C,1,FALSE),"#N/A")</f>
        <v>Financial Assistance Options</v>
      </c>
      <c r="Z7" s="219" t="s">
        <v>51</v>
      </c>
      <c r="AA7" s="219" t="str">
        <f>IFERROR(VLOOKUP(Z7,'ATP - RSAs'!$E:$E,1,FALSE),"#N/A")</f>
        <v>2 or 3</v>
      </c>
      <c r="AB7" s="219" t="str">
        <f t="shared" si="4"/>
        <v>Unbranded Condition Unbranded DLBCL Results Financial Assistance Options 2 or 3</v>
      </c>
      <c r="AC7" s="219" t="str">
        <f>VLOOKUP(AB7,'ATP - RSAs'!$N:$N,1,FALSE)</f>
        <v>Unbranded Condition Unbranded DLBCL Results Financial Assistance Options 2 or 3</v>
      </c>
      <c r="AD7" s="218" t="s">
        <v>54</v>
      </c>
      <c r="AE7" s="218" t="str">
        <f>IFERROR(VLOOKUP(AD7,'ATP - RSAs'!$C:$C,1,FALSE),"#N/A")</f>
        <v>Important Safety Information</v>
      </c>
      <c r="AF7" s="219" t="s">
        <v>51</v>
      </c>
      <c r="AG7" s="219" t="str">
        <f>IFERROR(VLOOKUP(AF7,'ATP - RSAs'!$E:$E,1,FALSE),"#N/A")</f>
        <v>2 or 3</v>
      </c>
      <c r="AH7" s="219" t="str">
        <f t="shared" si="5"/>
        <v>Unbranded Condition Unbranded DLBCL Results Important Safety Information 2 or 3</v>
      </c>
      <c r="AI7" s="219" t="str">
        <f>VLOOKUP(AH7,'ATP - RSAs'!$N:$N,1,FALSE)</f>
        <v>Unbranded Condition Unbranded DLBCL Results Important Safety Information 2 or 3</v>
      </c>
      <c r="AJ7" s="218" t="s">
        <v>55</v>
      </c>
      <c r="AK7" s="218" t="str">
        <f>IFERROR(VLOOKUP(AJ7,'ATP - RSAs'!$C:$C,1,FALSE),"#N/A")</f>
        <v>Questions To Ask Your Doctor</v>
      </c>
      <c r="AL7" s="219" t="s">
        <v>51</v>
      </c>
      <c r="AM7" s="219" t="str">
        <f>IFERROR(VLOOKUP(AL7,'ATP - RSAs'!$E:$E,1,FALSE),"#N/A")</f>
        <v>2 or 3</v>
      </c>
      <c r="AN7" s="219" t="str">
        <f t="shared" si="6"/>
        <v>Unbranded Condition Unbranded DLBCL Results Questions To Ask Your Doctor 2 or 3</v>
      </c>
      <c r="AO7" s="219" t="str">
        <f>VLOOKUP(AN7,'ATP - RSAs'!$N:$N,1,FALSE)</f>
        <v>Unbranded Condition Unbranded DLBCL Results Questions To Ask Your Doctor 2 or 3</v>
      </c>
      <c r="AP7" s="218" t="s">
        <v>56</v>
      </c>
      <c r="AQ7" s="218" t="str">
        <f>IFERROR(VLOOKUP(AP7,'ATP - RSAs'!$C:$C,1,FALSE),"#N/A")</f>
        <v>DLBCL Infusion Therapy</v>
      </c>
      <c r="AR7" s="219" t="s">
        <v>51</v>
      </c>
      <c r="AS7" s="219" t="str">
        <f>IFERROR(VLOOKUP(AR7,'ATP - RSAs'!$E:$E,1,FALSE),"#N/A")</f>
        <v>2 or 3</v>
      </c>
      <c r="AT7" s="219" t="str">
        <f t="shared" si="7"/>
        <v>Unbranded Condition Unbranded DLBCL Results DLBCL Infusion Therapy 2 or 3</v>
      </c>
      <c r="AU7" s="219" t="str">
        <f>VLOOKUP(AT7,'ATP - RSAs'!$N:$N,1,FALSE)</f>
        <v>Unbranded Condition Unbranded DLBCL Results DLBCL Infusion Therapy 2 or 3</v>
      </c>
      <c r="AV7" s="218" t="s">
        <v>57</v>
      </c>
      <c r="AW7" s="218" t="str">
        <f>IFERROR(VLOOKUP(AV7,'ATP - RSAs'!$C:$C,1,FALSE),"#N/A")</f>
        <v>Clinical Trial Results</v>
      </c>
      <c r="AX7" s="219" t="s">
        <v>51</v>
      </c>
      <c r="AY7" s="219" t="str">
        <f>IFERROR(VLOOKUP(AX7,'ATP - RSAs'!$E:$E,1,FALSE),"#N/A")</f>
        <v>2 or 3</v>
      </c>
      <c r="AZ7" s="219" t="str">
        <f t="shared" si="8"/>
        <v>Unbranded Condition Unbranded DLBCL Results Clinical Trial Results 2 or 3</v>
      </c>
      <c r="BA7" s="219" t="str">
        <f>VLOOKUP(AZ7,'ATP - RSAs'!$N:$N,1,FALSE)</f>
        <v>Unbranded Condition Unbranded DLBCL Results Clinical Trial Results 2 or 3</v>
      </c>
      <c r="BB7" s="218" t="s">
        <v>58</v>
      </c>
      <c r="BC7" s="218" t="str">
        <f>IFERROR(VLOOKUP(BB7,'ATP - RSAs'!$C:$C,1,FALSE),"#N/A")</f>
        <v>Information For Patients</v>
      </c>
      <c r="BD7" s="219" t="s">
        <v>51</v>
      </c>
      <c r="BE7" s="219" t="str">
        <f>IFERROR(VLOOKUP(BD7,'ATP - RSAs'!$E:$E,1,FALSE),"#N/A")</f>
        <v>2 or 3</v>
      </c>
      <c r="BF7" s="219" t="str">
        <f t="shared" si="9"/>
        <v>Unbranded Condition Unbranded DLBCL Results Information For Patients 2 or 3</v>
      </c>
      <c r="BG7" s="219" t="str">
        <f>VLOOKUP(BF7,'ATP - RSAs'!$N:$N,1,FALSE)</f>
        <v>Unbranded Condition Unbranded DLBCL Results Information For Patients 2 or 3</v>
      </c>
      <c r="BH7" s="218" t="s">
        <v>59</v>
      </c>
      <c r="BI7" s="218" t="str">
        <f>IFERROR(VLOOKUP(BH7,'ATP - RSAs'!$C:$C,1,FALSE),"#N/A")</f>
        <v>Efficacy &amp; Safety Information</v>
      </c>
      <c r="BJ7" s="219" t="s">
        <v>51</v>
      </c>
      <c r="BK7" s="219" t="str">
        <f>IFERROR(VLOOKUP(BJ7,'ATP - RSAs'!$E:$E,1,FALSE),"#N/A")</f>
        <v>2 or 3</v>
      </c>
      <c r="BL7" s="219" t="str">
        <f t="shared" si="10"/>
        <v>Unbranded Condition Unbranded DLBCL Results Efficacy &amp; Safety Information 2 or 3</v>
      </c>
      <c r="BM7" s="219" t="str">
        <f>VLOOKUP(BL7,'ATP - RSAs'!$N:$N,1,FALSE)</f>
        <v>Unbranded Condition Unbranded DLBCL Results Efficacy &amp; Safety Information 2 or 3</v>
      </c>
      <c r="BN7" s="218" t="s">
        <v>72</v>
      </c>
      <c r="BO7" s="218" t="str">
        <f>IFERROR(VLOOKUP(BN7,'ATP - RSAs'!$C:$C,1,FALSE),"#N/A")</f>
        <v>Diffuse Large B-Cell Lymphoma</v>
      </c>
      <c r="BP7" s="219" t="s">
        <v>51</v>
      </c>
      <c r="BQ7" s="219" t="str">
        <f>IFERROR(VLOOKUP(BP7,'ATP - RSAs'!$E:$E,1,FALSE),"#N/A")</f>
        <v>2 or 3</v>
      </c>
      <c r="BR7" s="219" t="str">
        <f t="shared" si="11"/>
        <v>Unbranded Condition Unbranded DLBCL Results Diffuse Large B-Cell Lymphoma 2 or 3</v>
      </c>
      <c r="BS7" s="219" t="str">
        <f>VLOOKUP(BR7,'ATP - RSAs'!$N:$N,1,FALSE)</f>
        <v>Unbranded Condition Unbranded DLBCL Results Diffuse Large B-Cell Lymphoma 2 or 3</v>
      </c>
      <c r="BT7" s="218" t="s">
        <v>73</v>
      </c>
      <c r="BU7" s="218" t="str">
        <f>IFERROR(VLOOKUP(BT7,'ATP - RSAs'!$C:$C,1,FALSE),"#N/A")</f>
        <v>DLBCL Clinical Study Data</v>
      </c>
      <c r="BV7" s="219" t="s">
        <v>51</v>
      </c>
      <c r="BW7" s="219" t="str">
        <f>IFERROR(VLOOKUP(BV7,'ATP - RSAs'!$E:$E,1,FALSE),"#N/A")</f>
        <v>2 or 3</v>
      </c>
      <c r="BX7" s="219" t="str">
        <f t="shared" si="12"/>
        <v>Unbranded Condition Unbranded DLBCL Results DLBCL Clinical Study Data 2 or 3</v>
      </c>
      <c r="BY7" s="219" t="str">
        <f>VLOOKUP(BX7,'ATP - RSAs'!$N:$N,1,FALSE)</f>
        <v>Unbranded Condition Unbranded DLBCL Results DLBCL Clinical Study Data 2 or 3</v>
      </c>
      <c r="BZ7" s="218" t="s">
        <v>60</v>
      </c>
      <c r="CA7" s="218" t="str">
        <f>IFERROR(VLOOKUP(BZ7,'ATP - RSAs'!$C:$C,1,FALSE),"#N/A")</f>
        <v>About DLBCL</v>
      </c>
      <c r="CB7" s="219" t="s">
        <v>51</v>
      </c>
      <c r="CC7" s="219" t="str">
        <f>IFERROR(VLOOKUP(CB7,'ATP - RSAs'!$E:$E,1,FALSE),"#N/A")</f>
        <v>2 or 3</v>
      </c>
      <c r="CD7" s="219" t="str">
        <f t="shared" si="13"/>
        <v>Unbranded Condition Unbranded DLBCL Results About DLBCL 2 or 3</v>
      </c>
      <c r="CE7" s="219" t="str">
        <f>VLOOKUP(CD7,'ATP - RSAs'!$N:$N,1,FALSE)</f>
        <v>Unbranded Condition Unbranded DLBCL Results About DLBCL 2 or 3</v>
      </c>
      <c r="CF7" s="218" t="s">
        <v>63</v>
      </c>
      <c r="CG7" s="218" t="str">
        <f>IFERROR(VLOOKUP(CF7,'ATP - RSAs'!$F:$F,1,FALSE),"#N/A")</f>
        <v>Discover A Fixed-Duration Treatment Option For 3L+ DLBCL And View Important Safety Info.</v>
      </c>
      <c r="CH7" s="219" t="s">
        <v>64</v>
      </c>
      <c r="CI7" s="219" t="str">
        <f>IFERROR(VLOOKUP(CH7,'ATP - RSAs'!$H:$H,1,FALSE),"#N/A")</f>
        <v>Any</v>
      </c>
      <c r="CJ7" s="219" t="str">
        <f t="shared" si="14"/>
        <v>Discover A Fixed-Duration Treatment Option For 3L+ DLBCL And View Important Safety Info. Any</v>
      </c>
      <c r="CK7" s="219" t="str">
        <f>VLOOKUP(CJ7,'ATP - RSAs'!$O:$O,1,FALSE)</f>
        <v>Discover A Fixed-Duration Treatment Option For 3L+ DLBCL And View Important Safety Info. Any</v>
      </c>
      <c r="CL7" s="218" t="s">
        <v>65</v>
      </c>
      <c r="CM7" s="218" t="str">
        <f>IFERROR(VLOOKUP(CL7,'ATP - RSAs'!$F:$F,1,FALSE),"#N/A")</f>
        <v>Download The Patient Brochure To Learn More About A DLBCL Fixed-Duration Treatment.</v>
      </c>
      <c r="CN7" s="219" t="s">
        <v>64</v>
      </c>
      <c r="CO7" s="219" t="str">
        <f>IFERROR(VLOOKUP(CN7,'ATP - RSAs'!$H:$H,1,FALSE),"#N/A")</f>
        <v>Any</v>
      </c>
      <c r="CP7" s="219" t="str">
        <f t="shared" si="15"/>
        <v>Download The Patient Brochure To Learn More About A DLBCL Fixed-Duration Treatment. Any</v>
      </c>
      <c r="CQ7" s="219" t="str">
        <f>VLOOKUP(CP7,'ATP - RSAs'!$O:$O,1,FALSE)</f>
        <v>Download The Patient Brochure To Learn More About A DLBCL Fixed-Duration Treatment. Any</v>
      </c>
      <c r="CR7" s="218" t="s">
        <v>66</v>
      </c>
      <c r="CS7" s="218" t="str">
        <f>IFERROR(VLOOKUP(CR7,'ATP - RSAs'!$F:$F,1,FALSE),"#N/A")</f>
        <v>Explore An Infusion Option For Diffuse Large B Cell Lymphoma &amp; View Clinical Results.</v>
      </c>
      <c r="CT7" s="219" t="s">
        <v>64</v>
      </c>
      <c r="CU7" s="219" t="str">
        <f>IFERROR(VLOOKUP(CT7,'ATP - RSAs'!$H:$H,1,FALSE),"#N/A")</f>
        <v>Any</v>
      </c>
      <c r="CV7" s="219" t="str">
        <f t="shared" si="16"/>
        <v>Explore An Infusion Option For Diffuse Large B Cell Lymphoma &amp; View Clinical Results. Any</v>
      </c>
      <c r="CW7" s="219" t="str">
        <f>VLOOKUP(CV7,'ATP - RSAs'!$O:$O,1,FALSE)</f>
        <v>Explore An Infusion Option For Diffuse Large B Cell Lymphoma &amp; View Clinical Results. Any</v>
      </c>
      <c r="CX7" s="218" t="s">
        <v>74</v>
      </c>
      <c r="CY7" s="218" t="str">
        <f>IFERROR(VLOOKUP(CX7,'ATP - RSAs'!$F:$F,1,FALSE),"#N/A")</f>
        <v>Learn More About Starting Treatment For 3L+ DLBCL After Two Or More Prior Therapies.</v>
      </c>
      <c r="CZ7" s="219" t="s">
        <v>64</v>
      </c>
      <c r="DA7" s="219" t="str">
        <f>IFERROR(VLOOKUP(CZ7,'ATP - RSAs'!$H:$H,1,FALSE),"#N/A")</f>
        <v>Any</v>
      </c>
      <c r="DB7" s="219" t="str">
        <f t="shared" si="17"/>
        <v>Learn More About Starting Treatment For 3L+ DLBCL After Two Or More Prior Therapies. Any</v>
      </c>
      <c r="DC7" s="219" t="str">
        <f>VLOOKUP(DB7,'ATP - RSAs'!$O:$O,1,FALSE)</f>
        <v>Learn More About Starting Treatment For 3L+ DLBCL After Two Or More Prior Therapies. Any</v>
      </c>
      <c r="DD7" s="218" t="s">
        <v>309</v>
      </c>
      <c r="DE7" s="218" t="s">
        <v>91</v>
      </c>
    </row>
    <row r="8" spans="1:109" ht="14.4" x14ac:dyDescent="0.3">
      <c r="A8" s="4"/>
      <c r="B8" s="225" t="str">
        <f>IFERROR(VLOOKUP(A8,'ATP - RSAs'!$A:$A,1,FALSE),"#N/A")</f>
        <v>#N/A</v>
      </c>
      <c r="C8" s="4" t="s">
        <v>95</v>
      </c>
      <c r="D8" s="4" t="str">
        <f>IFERROR(VLOOKUP(C8,'ATP - RSAs'!$B:$B,1,FALSE),"#N/A")</f>
        <v>Unbranded DLBCL Developments</v>
      </c>
      <c r="E8" s="4" t="str">
        <f t="shared" si="0"/>
        <v xml:space="preserve"> Unbranded DLBCL Developments</v>
      </c>
      <c r="F8" s="218" t="s">
        <v>49</v>
      </c>
      <c r="G8" s="218" t="str">
        <f>IFERROR(VLOOKUP(F8,'ATP - RSAs'!$C:$C,1,FALSE),"#N/A")</f>
        <v>Treatment Option For 3L+ DLBCL</v>
      </c>
      <c r="H8" s="219">
        <v>1</v>
      </c>
      <c r="I8" s="219">
        <f>IFERROR(VLOOKUP(H8,'ATP - RSAs'!$E:$E,1,FALSE),"#N/A")</f>
        <v>1</v>
      </c>
      <c r="J8" s="219" t="str">
        <f t="shared" si="1"/>
        <v xml:space="preserve"> Unbranded DLBCL Developments Treatment Option For 3L+ DLBCL 1</v>
      </c>
      <c r="K8" s="219" t="e">
        <f>VLOOKUP(J8,'ATP - RSAs'!$N:$N,1,FALSE)</f>
        <v>#N/A</v>
      </c>
      <c r="L8" s="218" t="s">
        <v>50</v>
      </c>
      <c r="M8" s="218" t="str">
        <f>IFERROR(VLOOKUP(L8,'ATP - RSAs'!$C:$C,1,FALSE),"#N/A")</f>
        <v>Download The Patient Brochure</v>
      </c>
      <c r="N8" s="219" t="s">
        <v>51</v>
      </c>
      <c r="O8" s="219" t="str">
        <f>IFERROR(VLOOKUP(N8,'ATP - RSAs'!$E:$E,1,FALSE),"#N/A")</f>
        <v>2 or 3</v>
      </c>
      <c r="P8" s="219" t="str">
        <f t="shared" si="2"/>
        <v xml:space="preserve"> Unbranded DLBCL Developments Download The Patient Brochure 2 or 3</v>
      </c>
      <c r="Q8" s="219" t="e">
        <f>VLOOKUP(P8,'ATP - RSAs'!$N:$N,1,FALSE)</f>
        <v>#N/A</v>
      </c>
      <c r="R8" s="218" t="s">
        <v>52</v>
      </c>
      <c r="S8" s="218" t="str">
        <f>IFERROR(VLOOKUP(R8,'ATP - RSAs'!$C:$C,1,FALSE),"#N/A")</f>
        <v>Resources For Patients</v>
      </c>
      <c r="T8" s="219" t="s">
        <v>51</v>
      </c>
      <c r="U8" s="219" t="str">
        <f>IFERROR(VLOOKUP(T8,'ATP - RSAs'!$E:$E,1,FALSE),"#N/A")</f>
        <v>2 or 3</v>
      </c>
      <c r="V8" s="219" t="str">
        <f t="shared" si="3"/>
        <v xml:space="preserve"> Unbranded DLBCL Developments Resources For Patients 2 or 3</v>
      </c>
      <c r="W8" s="219" t="e">
        <f>VLOOKUP(V8,'ATP - RSAs'!$N:$N,1,FALSE)</f>
        <v>#N/A</v>
      </c>
      <c r="X8" s="218" t="s">
        <v>53</v>
      </c>
      <c r="Y8" s="218" t="str">
        <f>IFERROR(VLOOKUP(X8,'ATP - RSAs'!$C:$C,1,FALSE),"#N/A")</f>
        <v>Financial Assistance Options</v>
      </c>
      <c r="Z8" s="219" t="s">
        <v>51</v>
      </c>
      <c r="AA8" s="219" t="str">
        <f>IFERROR(VLOOKUP(Z8,'ATP - RSAs'!$E:$E,1,FALSE),"#N/A")</f>
        <v>2 or 3</v>
      </c>
      <c r="AB8" s="219" t="str">
        <f t="shared" si="4"/>
        <v xml:space="preserve"> Unbranded DLBCL Developments Financial Assistance Options 2 or 3</v>
      </c>
      <c r="AC8" s="219" t="e">
        <f>VLOOKUP(AB8,'ATP - RSAs'!$N:$N,1,FALSE)</f>
        <v>#N/A</v>
      </c>
      <c r="AD8" s="218" t="s">
        <v>54</v>
      </c>
      <c r="AE8" s="218" t="str">
        <f>IFERROR(VLOOKUP(AD8,'ATP - RSAs'!$C:$C,1,FALSE),"#N/A")</f>
        <v>Important Safety Information</v>
      </c>
      <c r="AF8" s="219" t="s">
        <v>51</v>
      </c>
      <c r="AG8" s="219" t="str">
        <f>IFERROR(VLOOKUP(AF8,'ATP - RSAs'!$E:$E,1,FALSE),"#N/A")</f>
        <v>2 or 3</v>
      </c>
      <c r="AH8" s="219" t="str">
        <f t="shared" si="5"/>
        <v xml:space="preserve"> Unbranded DLBCL Developments Important Safety Information 2 or 3</v>
      </c>
      <c r="AI8" s="219" t="e">
        <f>VLOOKUP(AH8,'ATP - RSAs'!$N:$N,1,FALSE)</f>
        <v>#N/A</v>
      </c>
      <c r="AJ8" s="218" t="s">
        <v>55</v>
      </c>
      <c r="AK8" s="218" t="str">
        <f>IFERROR(VLOOKUP(AJ8,'ATP - RSAs'!$C:$C,1,FALSE),"#N/A")</f>
        <v>Questions To Ask Your Doctor</v>
      </c>
      <c r="AL8" s="219" t="s">
        <v>51</v>
      </c>
      <c r="AM8" s="219" t="str">
        <f>IFERROR(VLOOKUP(AL8,'ATP - RSAs'!$E:$E,1,FALSE),"#N/A")</f>
        <v>2 or 3</v>
      </c>
      <c r="AN8" s="219" t="str">
        <f t="shared" si="6"/>
        <v xml:space="preserve"> Unbranded DLBCL Developments Questions To Ask Your Doctor 2 or 3</v>
      </c>
      <c r="AO8" s="219" t="e">
        <f>VLOOKUP(AN8,'ATP - RSAs'!$N:$N,1,FALSE)</f>
        <v>#N/A</v>
      </c>
      <c r="AP8" s="218" t="s">
        <v>56</v>
      </c>
      <c r="AQ8" s="218" t="str">
        <f>IFERROR(VLOOKUP(AP8,'ATP - RSAs'!$C:$C,1,FALSE),"#N/A")</f>
        <v>DLBCL Infusion Therapy</v>
      </c>
      <c r="AR8" s="219" t="s">
        <v>51</v>
      </c>
      <c r="AS8" s="219" t="str">
        <f>IFERROR(VLOOKUP(AR8,'ATP - RSAs'!$E:$E,1,FALSE),"#N/A")</f>
        <v>2 or 3</v>
      </c>
      <c r="AT8" s="219" t="str">
        <f t="shared" si="7"/>
        <v xml:space="preserve"> Unbranded DLBCL Developments DLBCL Infusion Therapy 2 or 3</v>
      </c>
      <c r="AU8" s="219" t="e">
        <f>VLOOKUP(AT8,'ATP - RSAs'!$N:$N,1,FALSE)</f>
        <v>#N/A</v>
      </c>
      <c r="AV8" s="218" t="s">
        <v>57</v>
      </c>
      <c r="AW8" s="218" t="str">
        <f>IFERROR(VLOOKUP(AV8,'ATP - RSAs'!$C:$C,1,FALSE),"#N/A")</f>
        <v>Clinical Trial Results</v>
      </c>
      <c r="AX8" s="219" t="s">
        <v>51</v>
      </c>
      <c r="AY8" s="219" t="str">
        <f>IFERROR(VLOOKUP(AX8,'ATP - RSAs'!$E:$E,1,FALSE),"#N/A")</f>
        <v>2 or 3</v>
      </c>
      <c r="AZ8" s="219" t="str">
        <f t="shared" si="8"/>
        <v xml:space="preserve"> Unbranded DLBCL Developments Clinical Trial Results 2 or 3</v>
      </c>
      <c r="BA8" s="219" t="e">
        <f>VLOOKUP(AZ8,'ATP - RSAs'!$N:$N,1,FALSE)</f>
        <v>#N/A</v>
      </c>
      <c r="BB8" s="218" t="s">
        <v>58</v>
      </c>
      <c r="BC8" s="218" t="str">
        <f>IFERROR(VLOOKUP(BB8,'ATP - RSAs'!$C:$C,1,FALSE),"#N/A")</f>
        <v>Information For Patients</v>
      </c>
      <c r="BD8" s="219" t="s">
        <v>51</v>
      </c>
      <c r="BE8" s="219" t="str">
        <f>IFERROR(VLOOKUP(BD8,'ATP - RSAs'!$E:$E,1,FALSE),"#N/A")</f>
        <v>2 or 3</v>
      </c>
      <c r="BF8" s="219" t="str">
        <f t="shared" si="9"/>
        <v xml:space="preserve"> Unbranded DLBCL Developments Information For Patients 2 or 3</v>
      </c>
      <c r="BG8" s="219" t="e">
        <f>VLOOKUP(BF8,'ATP - RSAs'!$N:$N,1,FALSE)</f>
        <v>#N/A</v>
      </c>
      <c r="BH8" s="218" t="s">
        <v>59</v>
      </c>
      <c r="BI8" s="218" t="str">
        <f>IFERROR(VLOOKUP(BH8,'ATP - RSAs'!$C:$C,1,FALSE),"#N/A")</f>
        <v>Efficacy &amp; Safety Information</v>
      </c>
      <c r="BJ8" s="219" t="s">
        <v>51</v>
      </c>
      <c r="BK8" s="219" t="str">
        <f>IFERROR(VLOOKUP(BJ8,'ATP - RSAs'!$E:$E,1,FALSE),"#N/A")</f>
        <v>2 or 3</v>
      </c>
      <c r="BL8" s="219" t="str">
        <f t="shared" si="10"/>
        <v xml:space="preserve"> Unbranded DLBCL Developments Efficacy &amp; Safety Information 2 or 3</v>
      </c>
      <c r="BM8" s="219" t="e">
        <f>VLOOKUP(BL8,'ATP - RSAs'!$N:$N,1,FALSE)</f>
        <v>#N/A</v>
      </c>
      <c r="BN8" s="218" t="s">
        <v>72</v>
      </c>
      <c r="BO8" s="218" t="str">
        <f>IFERROR(VLOOKUP(BN8,'ATP - RSAs'!$C:$C,1,FALSE),"#N/A")</f>
        <v>Diffuse Large B-Cell Lymphoma</v>
      </c>
      <c r="BP8" s="219" t="s">
        <v>51</v>
      </c>
      <c r="BQ8" s="219" t="str">
        <f>IFERROR(VLOOKUP(BP8,'ATP - RSAs'!$E:$E,1,FALSE),"#N/A")</f>
        <v>2 or 3</v>
      </c>
      <c r="BR8" s="219" t="str">
        <f t="shared" si="11"/>
        <v xml:space="preserve"> Unbranded DLBCL Developments Diffuse Large B-Cell Lymphoma 2 or 3</v>
      </c>
      <c r="BS8" s="219" t="e">
        <f>VLOOKUP(BR8,'ATP - RSAs'!$N:$N,1,FALSE)</f>
        <v>#N/A</v>
      </c>
      <c r="BT8" s="218" t="s">
        <v>73</v>
      </c>
      <c r="BU8" s="218" t="str">
        <f>IFERROR(VLOOKUP(BT8,'ATP - RSAs'!$C:$C,1,FALSE),"#N/A")</f>
        <v>DLBCL Clinical Study Data</v>
      </c>
      <c r="BV8" s="219" t="s">
        <v>51</v>
      </c>
      <c r="BW8" s="219" t="str">
        <f>IFERROR(VLOOKUP(BV8,'ATP - RSAs'!$E:$E,1,FALSE),"#N/A")</f>
        <v>2 or 3</v>
      </c>
      <c r="BX8" s="219" t="str">
        <f t="shared" si="12"/>
        <v xml:space="preserve"> Unbranded DLBCL Developments DLBCL Clinical Study Data 2 or 3</v>
      </c>
      <c r="BY8" s="219" t="e">
        <f>VLOOKUP(BX8,'ATP - RSAs'!$N:$N,1,FALSE)</f>
        <v>#N/A</v>
      </c>
      <c r="BZ8" s="218" t="s">
        <v>60</v>
      </c>
      <c r="CA8" s="218" t="str">
        <f>IFERROR(VLOOKUP(BZ8,'ATP - RSAs'!$C:$C,1,FALSE),"#N/A")</f>
        <v>About DLBCL</v>
      </c>
      <c r="CB8" s="219" t="s">
        <v>51</v>
      </c>
      <c r="CC8" s="219" t="str">
        <f>IFERROR(VLOOKUP(CB8,'ATP - RSAs'!$E:$E,1,FALSE),"#N/A")</f>
        <v>2 or 3</v>
      </c>
      <c r="CD8" s="219" t="str">
        <f t="shared" si="13"/>
        <v xml:space="preserve"> Unbranded DLBCL Developments About DLBCL 2 or 3</v>
      </c>
      <c r="CE8" s="219" t="e">
        <f>VLOOKUP(CD8,'ATP - RSAs'!$N:$N,1,FALSE)</f>
        <v>#N/A</v>
      </c>
      <c r="CF8" s="218" t="s">
        <v>63</v>
      </c>
      <c r="CG8" s="218" t="str">
        <f>IFERROR(VLOOKUP(CF8,'ATP - RSAs'!$F:$F,1,FALSE),"#N/A")</f>
        <v>Discover A Fixed-Duration Treatment Option For 3L+ DLBCL And View Important Safety Info.</v>
      </c>
      <c r="CH8" s="219" t="s">
        <v>64</v>
      </c>
      <c r="CI8" s="219" t="str">
        <f>IFERROR(VLOOKUP(CH8,'ATP - RSAs'!$H:$H,1,FALSE),"#N/A")</f>
        <v>Any</v>
      </c>
      <c r="CJ8" s="219" t="str">
        <f t="shared" si="14"/>
        <v>Discover A Fixed-Duration Treatment Option For 3L+ DLBCL And View Important Safety Info. Any</v>
      </c>
      <c r="CK8" s="219" t="str">
        <f>VLOOKUP(CJ8,'ATP - RSAs'!$O:$O,1,FALSE)</f>
        <v>Discover A Fixed-Duration Treatment Option For 3L+ DLBCL And View Important Safety Info. Any</v>
      </c>
      <c r="CL8" s="218" t="s">
        <v>65</v>
      </c>
      <c r="CM8" s="218" t="str">
        <f>IFERROR(VLOOKUP(CL8,'ATP - RSAs'!$F:$F,1,FALSE),"#N/A")</f>
        <v>Download The Patient Brochure To Learn More About A DLBCL Fixed-Duration Treatment.</v>
      </c>
      <c r="CN8" s="219" t="s">
        <v>64</v>
      </c>
      <c r="CO8" s="219" t="str">
        <f>IFERROR(VLOOKUP(CN8,'ATP - RSAs'!$H:$H,1,FALSE),"#N/A")</f>
        <v>Any</v>
      </c>
      <c r="CP8" s="219" t="str">
        <f t="shared" si="15"/>
        <v>Download The Patient Brochure To Learn More About A DLBCL Fixed-Duration Treatment. Any</v>
      </c>
      <c r="CQ8" s="219" t="str">
        <f>VLOOKUP(CP8,'ATP - RSAs'!$O:$O,1,FALSE)</f>
        <v>Download The Patient Brochure To Learn More About A DLBCL Fixed-Duration Treatment. Any</v>
      </c>
      <c r="CR8" s="218" t="s">
        <v>66</v>
      </c>
      <c r="CS8" s="218" t="str">
        <f>IFERROR(VLOOKUP(CR8,'ATP - RSAs'!$F:$F,1,FALSE),"#N/A")</f>
        <v>Explore An Infusion Option For Diffuse Large B Cell Lymphoma &amp; View Clinical Results.</v>
      </c>
      <c r="CT8" s="219" t="s">
        <v>64</v>
      </c>
      <c r="CU8" s="219" t="str">
        <f>IFERROR(VLOOKUP(CT8,'ATP - RSAs'!$H:$H,1,FALSE),"#N/A")</f>
        <v>Any</v>
      </c>
      <c r="CV8" s="219" t="str">
        <f t="shared" si="16"/>
        <v>Explore An Infusion Option For Diffuse Large B Cell Lymphoma &amp; View Clinical Results. Any</v>
      </c>
      <c r="CW8" s="219" t="str">
        <f>VLOOKUP(CV8,'ATP - RSAs'!$O:$O,1,FALSE)</f>
        <v>Explore An Infusion Option For Diffuse Large B Cell Lymphoma &amp; View Clinical Results. Any</v>
      </c>
      <c r="CX8" s="218" t="s">
        <v>74</v>
      </c>
      <c r="CY8" s="218" t="str">
        <f>IFERROR(VLOOKUP(CX8,'ATP - RSAs'!$F:$F,1,FALSE),"#N/A")</f>
        <v>Learn More About Starting Treatment For 3L+ DLBCL After Two Or More Prior Therapies.</v>
      </c>
      <c r="CZ8" s="219" t="s">
        <v>64</v>
      </c>
      <c r="DA8" s="219" t="str">
        <f>IFERROR(VLOOKUP(CZ8,'ATP - RSAs'!$H:$H,1,FALSE),"#N/A")</f>
        <v>Any</v>
      </c>
      <c r="DB8" s="219" t="str">
        <f t="shared" si="17"/>
        <v>Learn More About Starting Treatment For 3L+ DLBCL After Two Or More Prior Therapies. Any</v>
      </c>
      <c r="DC8" s="219" t="str">
        <f>VLOOKUP(DB8,'ATP - RSAs'!$O:$O,1,FALSE)</f>
        <v>Learn More About Starting Treatment For 3L+ DLBCL After Two Or More Prior Therapies. Any</v>
      </c>
      <c r="DD8" s="218" t="s">
        <v>309</v>
      </c>
      <c r="DE8" s="218" t="s">
        <v>96</v>
      </c>
    </row>
    <row r="9" spans="1:109" ht="14.4" x14ac:dyDescent="0.3">
      <c r="A9" s="4"/>
      <c r="B9" s="225" t="str">
        <f>IFERROR(VLOOKUP(A9,'ATP - RSAs'!$A:$A,1,FALSE),"#N/A")</f>
        <v>#N/A</v>
      </c>
      <c r="C9" s="4" t="s">
        <v>98</v>
      </c>
      <c r="D9" s="4" t="str">
        <f>IFERROR(VLOOKUP(C9,'ATP - RSAs'!$B:$B,1,FALSE),"#N/A")</f>
        <v>Unbranded DLBCL Treatment</v>
      </c>
      <c r="E9" s="4" t="str">
        <f t="shared" si="0"/>
        <v xml:space="preserve"> Unbranded DLBCL Treatment</v>
      </c>
      <c r="F9" s="218" t="s">
        <v>49</v>
      </c>
      <c r="G9" s="218" t="str">
        <f>IFERROR(VLOOKUP(F9,'ATP - RSAs'!$C:$C,1,FALSE),"#N/A")</f>
        <v>Treatment Option For 3L+ DLBCL</v>
      </c>
      <c r="H9" s="219">
        <v>1</v>
      </c>
      <c r="I9" s="219">
        <f>IFERROR(VLOOKUP(H9,'ATP - RSAs'!$E:$E,1,FALSE),"#N/A")</f>
        <v>1</v>
      </c>
      <c r="J9" s="219" t="str">
        <f t="shared" si="1"/>
        <v xml:space="preserve"> Unbranded DLBCL Treatment Treatment Option For 3L+ DLBCL 1</v>
      </c>
      <c r="K9" s="219" t="e">
        <f>VLOOKUP(J9,'ATP - RSAs'!$N:$N,1,FALSE)</f>
        <v>#N/A</v>
      </c>
      <c r="L9" s="218" t="s">
        <v>50</v>
      </c>
      <c r="M9" s="218" t="str">
        <f>IFERROR(VLOOKUP(L9,'ATP - RSAs'!$C:$C,1,FALSE),"#N/A")</f>
        <v>Download The Patient Brochure</v>
      </c>
      <c r="N9" s="219" t="s">
        <v>51</v>
      </c>
      <c r="O9" s="219" t="str">
        <f>IFERROR(VLOOKUP(N9,'ATP - RSAs'!$E:$E,1,FALSE),"#N/A")</f>
        <v>2 or 3</v>
      </c>
      <c r="P9" s="219" t="str">
        <f t="shared" si="2"/>
        <v xml:space="preserve"> Unbranded DLBCL Treatment Download The Patient Brochure 2 or 3</v>
      </c>
      <c r="Q9" s="219" t="e">
        <f>VLOOKUP(P9,'ATP - RSAs'!$N:$N,1,FALSE)</f>
        <v>#N/A</v>
      </c>
      <c r="R9" s="218" t="s">
        <v>52</v>
      </c>
      <c r="S9" s="218" t="str">
        <f>IFERROR(VLOOKUP(R9,'ATP - RSAs'!$C:$C,1,FALSE),"#N/A")</f>
        <v>Resources For Patients</v>
      </c>
      <c r="T9" s="219" t="s">
        <v>51</v>
      </c>
      <c r="U9" s="219" t="str">
        <f>IFERROR(VLOOKUP(T9,'ATP - RSAs'!$E:$E,1,FALSE),"#N/A")</f>
        <v>2 or 3</v>
      </c>
      <c r="V9" s="219" t="str">
        <f t="shared" si="3"/>
        <v xml:space="preserve"> Unbranded DLBCL Treatment Resources For Patients 2 or 3</v>
      </c>
      <c r="W9" s="219" t="e">
        <f>VLOOKUP(V9,'ATP - RSAs'!$N:$N,1,FALSE)</f>
        <v>#N/A</v>
      </c>
      <c r="X9" s="218" t="s">
        <v>53</v>
      </c>
      <c r="Y9" s="218" t="str">
        <f>IFERROR(VLOOKUP(X9,'ATP - RSAs'!$C:$C,1,FALSE),"#N/A")</f>
        <v>Financial Assistance Options</v>
      </c>
      <c r="Z9" s="219" t="s">
        <v>51</v>
      </c>
      <c r="AA9" s="219" t="str">
        <f>IFERROR(VLOOKUP(Z9,'ATP - RSAs'!$E:$E,1,FALSE),"#N/A")</f>
        <v>2 or 3</v>
      </c>
      <c r="AB9" s="219" t="str">
        <f t="shared" si="4"/>
        <v xml:space="preserve"> Unbranded DLBCL Treatment Financial Assistance Options 2 or 3</v>
      </c>
      <c r="AC9" s="219" t="e">
        <f>VLOOKUP(AB9,'ATP - RSAs'!$N:$N,1,FALSE)</f>
        <v>#N/A</v>
      </c>
      <c r="AD9" s="218" t="s">
        <v>54</v>
      </c>
      <c r="AE9" s="218" t="str">
        <f>IFERROR(VLOOKUP(AD9,'ATP - RSAs'!$C:$C,1,FALSE),"#N/A")</f>
        <v>Important Safety Information</v>
      </c>
      <c r="AF9" s="219" t="s">
        <v>51</v>
      </c>
      <c r="AG9" s="219" t="str">
        <f>IFERROR(VLOOKUP(AF9,'ATP - RSAs'!$E:$E,1,FALSE),"#N/A")</f>
        <v>2 or 3</v>
      </c>
      <c r="AH9" s="219" t="str">
        <f t="shared" si="5"/>
        <v xml:space="preserve"> Unbranded DLBCL Treatment Important Safety Information 2 or 3</v>
      </c>
      <c r="AI9" s="219" t="e">
        <f>VLOOKUP(AH9,'ATP - RSAs'!$N:$N,1,FALSE)</f>
        <v>#N/A</v>
      </c>
      <c r="AJ9" s="218" t="s">
        <v>55</v>
      </c>
      <c r="AK9" s="218" t="str">
        <f>IFERROR(VLOOKUP(AJ9,'ATP - RSAs'!$C:$C,1,FALSE),"#N/A")</f>
        <v>Questions To Ask Your Doctor</v>
      </c>
      <c r="AL9" s="219" t="s">
        <v>51</v>
      </c>
      <c r="AM9" s="219" t="str">
        <f>IFERROR(VLOOKUP(AL9,'ATP - RSAs'!$E:$E,1,FALSE),"#N/A")</f>
        <v>2 or 3</v>
      </c>
      <c r="AN9" s="219" t="str">
        <f t="shared" si="6"/>
        <v xml:space="preserve"> Unbranded DLBCL Treatment Questions To Ask Your Doctor 2 or 3</v>
      </c>
      <c r="AO9" s="219" t="e">
        <f>VLOOKUP(AN9,'ATP - RSAs'!$N:$N,1,FALSE)</f>
        <v>#N/A</v>
      </c>
      <c r="AP9" s="218" t="s">
        <v>56</v>
      </c>
      <c r="AQ9" s="218" t="str">
        <f>IFERROR(VLOOKUP(AP9,'ATP - RSAs'!$C:$C,1,FALSE),"#N/A")</f>
        <v>DLBCL Infusion Therapy</v>
      </c>
      <c r="AR9" s="219" t="s">
        <v>51</v>
      </c>
      <c r="AS9" s="219" t="str">
        <f>IFERROR(VLOOKUP(AR9,'ATP - RSAs'!$E:$E,1,FALSE),"#N/A")</f>
        <v>2 or 3</v>
      </c>
      <c r="AT9" s="219" t="str">
        <f t="shared" si="7"/>
        <v xml:space="preserve"> Unbranded DLBCL Treatment DLBCL Infusion Therapy 2 or 3</v>
      </c>
      <c r="AU9" s="219" t="e">
        <f>VLOOKUP(AT9,'ATP - RSAs'!$N:$N,1,FALSE)</f>
        <v>#N/A</v>
      </c>
      <c r="AV9" s="218" t="s">
        <v>57</v>
      </c>
      <c r="AW9" s="218" t="str">
        <f>IFERROR(VLOOKUP(AV9,'ATP - RSAs'!$C:$C,1,FALSE),"#N/A")</f>
        <v>Clinical Trial Results</v>
      </c>
      <c r="AX9" s="219" t="s">
        <v>51</v>
      </c>
      <c r="AY9" s="219" t="str">
        <f>IFERROR(VLOOKUP(AX9,'ATP - RSAs'!$E:$E,1,FALSE),"#N/A")</f>
        <v>2 or 3</v>
      </c>
      <c r="AZ9" s="219" t="str">
        <f t="shared" si="8"/>
        <v xml:space="preserve"> Unbranded DLBCL Treatment Clinical Trial Results 2 or 3</v>
      </c>
      <c r="BA9" s="219" t="e">
        <f>VLOOKUP(AZ9,'ATP - RSAs'!$N:$N,1,FALSE)</f>
        <v>#N/A</v>
      </c>
      <c r="BB9" s="218" t="s">
        <v>58</v>
      </c>
      <c r="BC9" s="218" t="str">
        <f>IFERROR(VLOOKUP(BB9,'ATP - RSAs'!$C:$C,1,FALSE),"#N/A")</f>
        <v>Information For Patients</v>
      </c>
      <c r="BD9" s="219" t="s">
        <v>51</v>
      </c>
      <c r="BE9" s="219" t="str">
        <f>IFERROR(VLOOKUP(BD9,'ATP - RSAs'!$E:$E,1,FALSE),"#N/A")</f>
        <v>2 or 3</v>
      </c>
      <c r="BF9" s="219" t="str">
        <f t="shared" si="9"/>
        <v xml:space="preserve"> Unbranded DLBCL Treatment Information For Patients 2 or 3</v>
      </c>
      <c r="BG9" s="219" t="e">
        <f>VLOOKUP(BF9,'ATP - RSAs'!$N:$N,1,FALSE)</f>
        <v>#N/A</v>
      </c>
      <c r="BH9" s="218" t="s">
        <v>59</v>
      </c>
      <c r="BI9" s="218" t="str">
        <f>IFERROR(VLOOKUP(BH9,'ATP - RSAs'!$C:$C,1,FALSE),"#N/A")</f>
        <v>Efficacy &amp; Safety Information</v>
      </c>
      <c r="BJ9" s="219" t="s">
        <v>51</v>
      </c>
      <c r="BK9" s="219" t="str">
        <f>IFERROR(VLOOKUP(BJ9,'ATP - RSAs'!$E:$E,1,FALSE),"#N/A")</f>
        <v>2 or 3</v>
      </c>
      <c r="BL9" s="219" t="str">
        <f t="shared" si="10"/>
        <v xml:space="preserve"> Unbranded DLBCL Treatment Efficacy &amp; Safety Information 2 or 3</v>
      </c>
      <c r="BM9" s="219" t="e">
        <f>VLOOKUP(BL9,'ATP - RSAs'!$N:$N,1,FALSE)</f>
        <v>#N/A</v>
      </c>
      <c r="BN9" s="218" t="s">
        <v>99</v>
      </c>
      <c r="BO9" s="218" t="str">
        <f>IFERROR(VLOOKUP(BN9,'ATP - RSAs'!$C:$C,1,FALSE),"#N/A")</f>
        <v>DLBCL Symptoms</v>
      </c>
      <c r="BP9" s="219" t="s">
        <v>51</v>
      </c>
      <c r="BQ9" s="219" t="str">
        <f>IFERROR(VLOOKUP(BP9,'ATP - RSAs'!$E:$E,1,FALSE),"#N/A")</f>
        <v>2 or 3</v>
      </c>
      <c r="BR9" s="219" t="str">
        <f t="shared" si="11"/>
        <v xml:space="preserve"> Unbranded DLBCL Treatment DLBCL Symptoms 2 or 3</v>
      </c>
      <c r="BS9" s="219" t="e">
        <f>VLOOKUP(BR9,'ATP - RSAs'!$N:$N,1,FALSE)</f>
        <v>#N/A</v>
      </c>
      <c r="BT9" s="218" t="s">
        <v>100</v>
      </c>
      <c r="BU9" s="218" t="str">
        <f>IFERROR(VLOOKUP(BT9,'ATP - RSAs'!$C:$C,1,FALSE),"#N/A")</f>
        <v>3L+ DLBCL Treatment Option</v>
      </c>
      <c r="BV9" s="219" t="s">
        <v>51</v>
      </c>
      <c r="BW9" s="219" t="str">
        <f>IFERROR(VLOOKUP(BV9,'ATP - RSAs'!$E:$E,1,FALSE),"#N/A")</f>
        <v>2 or 3</v>
      </c>
      <c r="BX9" s="219" t="str">
        <f t="shared" si="12"/>
        <v xml:space="preserve"> Unbranded DLBCL Treatment 3L+ DLBCL Treatment Option 2 or 3</v>
      </c>
      <c r="BY9" s="219" t="e">
        <f>VLOOKUP(BX9,'ATP - RSAs'!$N:$N,1,FALSE)</f>
        <v>#N/A</v>
      </c>
      <c r="BZ9" s="218" t="s">
        <v>72</v>
      </c>
      <c r="CA9" s="218" t="str">
        <f>IFERROR(VLOOKUP(BZ9,'ATP - RSAs'!$C:$C,1,FALSE),"#N/A")</f>
        <v>Diffuse Large B-Cell Lymphoma</v>
      </c>
      <c r="CB9" s="219" t="s">
        <v>51</v>
      </c>
      <c r="CC9" s="219" t="str">
        <f>IFERROR(VLOOKUP(CB9,'ATP - RSAs'!$E:$E,1,FALSE),"#N/A")</f>
        <v>2 or 3</v>
      </c>
      <c r="CD9" s="219" t="str">
        <f t="shared" si="13"/>
        <v xml:space="preserve"> Unbranded DLBCL Treatment Diffuse Large B-Cell Lymphoma 2 or 3</v>
      </c>
      <c r="CE9" s="219" t="e">
        <f>VLOOKUP(CD9,'ATP - RSAs'!$N:$N,1,FALSE)</f>
        <v>#N/A</v>
      </c>
      <c r="CF9" s="218" t="s">
        <v>63</v>
      </c>
      <c r="CG9" s="218" t="str">
        <f>IFERROR(VLOOKUP(CF9,'ATP - RSAs'!$F:$F,1,FALSE),"#N/A")</f>
        <v>Discover A Fixed-Duration Treatment Option For 3L+ DLBCL And View Important Safety Info.</v>
      </c>
      <c r="CH9" s="219" t="s">
        <v>64</v>
      </c>
      <c r="CI9" s="219" t="str">
        <f>IFERROR(VLOOKUP(CH9,'ATP - RSAs'!$H:$H,1,FALSE),"#N/A")</f>
        <v>Any</v>
      </c>
      <c r="CJ9" s="219" t="str">
        <f t="shared" si="14"/>
        <v>Discover A Fixed-Duration Treatment Option For 3L+ DLBCL And View Important Safety Info. Any</v>
      </c>
      <c r="CK9" s="219" t="str">
        <f>VLOOKUP(CJ9,'ATP - RSAs'!$O:$O,1,FALSE)</f>
        <v>Discover A Fixed-Duration Treatment Option For 3L+ DLBCL And View Important Safety Info. Any</v>
      </c>
      <c r="CL9" s="218" t="s">
        <v>65</v>
      </c>
      <c r="CM9" s="218" t="str">
        <f>IFERROR(VLOOKUP(CL9,'ATP - RSAs'!$F:$F,1,FALSE),"#N/A")</f>
        <v>Download The Patient Brochure To Learn More About A DLBCL Fixed-Duration Treatment.</v>
      </c>
      <c r="CN9" s="219" t="s">
        <v>64</v>
      </c>
      <c r="CO9" s="219" t="str">
        <f>IFERROR(VLOOKUP(CN9,'ATP - RSAs'!$H:$H,1,FALSE),"#N/A")</f>
        <v>Any</v>
      </c>
      <c r="CP9" s="219" t="str">
        <f t="shared" si="15"/>
        <v>Download The Patient Brochure To Learn More About A DLBCL Fixed-Duration Treatment. Any</v>
      </c>
      <c r="CQ9" s="219" t="str">
        <f>VLOOKUP(CP9,'ATP - RSAs'!$O:$O,1,FALSE)</f>
        <v>Download The Patient Brochure To Learn More About A DLBCL Fixed-Duration Treatment. Any</v>
      </c>
      <c r="CR9" s="218" t="s">
        <v>66</v>
      </c>
      <c r="CS9" s="218" t="str">
        <f>IFERROR(VLOOKUP(CR9,'ATP - RSAs'!$F:$F,1,FALSE),"#N/A")</f>
        <v>Explore An Infusion Option For Diffuse Large B Cell Lymphoma &amp; View Clinical Results.</v>
      </c>
      <c r="CT9" s="219" t="s">
        <v>64</v>
      </c>
      <c r="CU9" s="219" t="str">
        <f>IFERROR(VLOOKUP(CT9,'ATP - RSAs'!$H:$H,1,FALSE),"#N/A")</f>
        <v>Any</v>
      </c>
      <c r="CV9" s="219" t="str">
        <f t="shared" si="16"/>
        <v>Explore An Infusion Option For Diffuse Large B Cell Lymphoma &amp; View Clinical Results. Any</v>
      </c>
      <c r="CW9" s="219" t="str">
        <f>VLOOKUP(CV9,'ATP - RSAs'!$O:$O,1,FALSE)</f>
        <v>Explore An Infusion Option For Diffuse Large B Cell Lymphoma &amp; View Clinical Results. Any</v>
      </c>
      <c r="CX9" s="218" t="s">
        <v>74</v>
      </c>
      <c r="CY9" s="218" t="str">
        <f>IFERROR(VLOOKUP(CX9,'ATP - RSAs'!$F:$F,1,FALSE),"#N/A")</f>
        <v>Learn More About Starting Treatment For 3L+ DLBCL After Two Or More Prior Therapies.</v>
      </c>
      <c r="CZ9" s="219" t="s">
        <v>64</v>
      </c>
      <c r="DA9" s="219" t="str">
        <f>IFERROR(VLOOKUP(CZ9,'ATP - RSAs'!$H:$H,1,FALSE),"#N/A")</f>
        <v>Any</v>
      </c>
      <c r="DB9" s="219" t="str">
        <f t="shared" si="17"/>
        <v>Learn More About Starting Treatment For 3L+ DLBCL After Two Or More Prior Therapies. Any</v>
      </c>
      <c r="DC9" s="219" t="str">
        <f>VLOOKUP(DB9,'ATP - RSAs'!$O:$O,1,FALSE)</f>
        <v>Learn More About Starting Treatment For 3L+ DLBCL After Two Or More Prior Therapies. Any</v>
      </c>
      <c r="DD9" s="218" t="s">
        <v>309</v>
      </c>
      <c r="DE9" s="218" t="s">
        <v>101</v>
      </c>
    </row>
    <row r="10" spans="1:109" ht="14.4" x14ac:dyDescent="0.3">
      <c r="A10" s="4"/>
      <c r="B10" s="225" t="str">
        <f>IFERROR(VLOOKUP(A10,'ATP - RSAs'!$A:$A,1,FALSE),"#N/A")</f>
        <v>#N/A</v>
      </c>
      <c r="C10" s="4" t="s">
        <v>103</v>
      </c>
      <c r="D10" s="4" t="str">
        <f>IFERROR(VLOOKUP(C10,'ATP - RSAs'!$B:$B,1,FALSE),"#N/A")</f>
        <v>Unbranded DLBCL Medication</v>
      </c>
      <c r="E10" s="4" t="str">
        <f t="shared" si="0"/>
        <v xml:space="preserve"> Unbranded DLBCL Medication</v>
      </c>
      <c r="F10" s="218" t="s">
        <v>104</v>
      </c>
      <c r="G10" s="218" t="str">
        <f>IFERROR(VLOOKUP(F10,'ATP - RSAs'!$C:$C,1,FALSE),"#N/A")</f>
        <v>Medication For 3L+ DLBCL</v>
      </c>
      <c r="H10" s="219">
        <v>1</v>
      </c>
      <c r="I10" s="219">
        <f>IFERROR(VLOOKUP(H10,'ATP - RSAs'!$E:$E,1,FALSE),"#N/A")</f>
        <v>1</v>
      </c>
      <c r="J10" s="219" t="str">
        <f t="shared" si="1"/>
        <v xml:space="preserve"> Unbranded DLBCL Medication Medication For 3L+ DLBCL 1</v>
      </c>
      <c r="K10" s="219" t="e">
        <f>VLOOKUP(J10,'ATP - RSAs'!$N:$N,1,FALSE)</f>
        <v>#N/A</v>
      </c>
      <c r="L10" s="218" t="s">
        <v>50</v>
      </c>
      <c r="M10" s="218" t="str">
        <f>IFERROR(VLOOKUP(L10,'ATP - RSAs'!$C:$C,1,FALSE),"#N/A")</f>
        <v>Download The Patient Brochure</v>
      </c>
      <c r="N10" s="219" t="s">
        <v>51</v>
      </c>
      <c r="O10" s="219" t="str">
        <f>IFERROR(VLOOKUP(N10,'ATP - RSAs'!$E:$E,1,FALSE),"#N/A")</f>
        <v>2 or 3</v>
      </c>
      <c r="P10" s="219" t="str">
        <f t="shared" si="2"/>
        <v xml:space="preserve"> Unbranded DLBCL Medication Download The Patient Brochure 2 or 3</v>
      </c>
      <c r="Q10" s="219" t="e">
        <f>VLOOKUP(P10,'ATP - RSAs'!$N:$N,1,FALSE)</f>
        <v>#N/A</v>
      </c>
      <c r="R10" s="218" t="s">
        <v>52</v>
      </c>
      <c r="S10" s="218" t="str">
        <f>IFERROR(VLOOKUP(R10,'ATP - RSAs'!$C:$C,1,FALSE),"#N/A")</f>
        <v>Resources For Patients</v>
      </c>
      <c r="T10" s="219" t="s">
        <v>51</v>
      </c>
      <c r="U10" s="219" t="str">
        <f>IFERROR(VLOOKUP(T10,'ATP - RSAs'!$E:$E,1,FALSE),"#N/A")</f>
        <v>2 or 3</v>
      </c>
      <c r="V10" s="219" t="str">
        <f t="shared" si="3"/>
        <v xml:space="preserve"> Unbranded DLBCL Medication Resources For Patients 2 or 3</v>
      </c>
      <c r="W10" s="219" t="e">
        <f>VLOOKUP(V10,'ATP - RSAs'!$N:$N,1,FALSE)</f>
        <v>#N/A</v>
      </c>
      <c r="X10" s="218" t="s">
        <v>53</v>
      </c>
      <c r="Y10" s="218" t="str">
        <f>IFERROR(VLOOKUP(X10,'ATP - RSAs'!$C:$C,1,FALSE),"#N/A")</f>
        <v>Financial Assistance Options</v>
      </c>
      <c r="Z10" s="219" t="s">
        <v>51</v>
      </c>
      <c r="AA10" s="219" t="str">
        <f>IFERROR(VLOOKUP(Z10,'ATP - RSAs'!$E:$E,1,FALSE),"#N/A")</f>
        <v>2 or 3</v>
      </c>
      <c r="AB10" s="219" t="str">
        <f t="shared" si="4"/>
        <v xml:space="preserve"> Unbranded DLBCL Medication Financial Assistance Options 2 or 3</v>
      </c>
      <c r="AC10" s="219" t="e">
        <f>VLOOKUP(AB10,'ATP - RSAs'!$N:$N,1,FALSE)</f>
        <v>#N/A</v>
      </c>
      <c r="AD10" s="218" t="s">
        <v>54</v>
      </c>
      <c r="AE10" s="218" t="str">
        <f>IFERROR(VLOOKUP(AD10,'ATP - RSAs'!$C:$C,1,FALSE),"#N/A")</f>
        <v>Important Safety Information</v>
      </c>
      <c r="AF10" s="219" t="s">
        <v>51</v>
      </c>
      <c r="AG10" s="219" t="str">
        <f>IFERROR(VLOOKUP(AF10,'ATP - RSAs'!$E:$E,1,FALSE),"#N/A")</f>
        <v>2 or 3</v>
      </c>
      <c r="AH10" s="219" t="str">
        <f t="shared" si="5"/>
        <v xml:space="preserve"> Unbranded DLBCL Medication Important Safety Information 2 or 3</v>
      </c>
      <c r="AI10" s="219" t="e">
        <f>VLOOKUP(AH10,'ATP - RSAs'!$N:$N,1,FALSE)</f>
        <v>#N/A</v>
      </c>
      <c r="AJ10" s="218" t="s">
        <v>55</v>
      </c>
      <c r="AK10" s="218" t="str">
        <f>IFERROR(VLOOKUP(AJ10,'ATP - RSAs'!$C:$C,1,FALSE),"#N/A")</f>
        <v>Questions To Ask Your Doctor</v>
      </c>
      <c r="AL10" s="219" t="s">
        <v>51</v>
      </c>
      <c r="AM10" s="219" t="str">
        <f>IFERROR(VLOOKUP(AL10,'ATP - RSAs'!$E:$E,1,FALSE),"#N/A")</f>
        <v>2 or 3</v>
      </c>
      <c r="AN10" s="219" t="str">
        <f t="shared" si="6"/>
        <v xml:space="preserve"> Unbranded DLBCL Medication Questions To Ask Your Doctor 2 or 3</v>
      </c>
      <c r="AO10" s="219" t="e">
        <f>VLOOKUP(AN10,'ATP - RSAs'!$N:$N,1,FALSE)</f>
        <v>#N/A</v>
      </c>
      <c r="AP10" s="218" t="s">
        <v>56</v>
      </c>
      <c r="AQ10" s="218" t="str">
        <f>IFERROR(VLOOKUP(AP10,'ATP - RSAs'!$C:$C,1,FALSE),"#N/A")</f>
        <v>DLBCL Infusion Therapy</v>
      </c>
      <c r="AR10" s="219" t="s">
        <v>51</v>
      </c>
      <c r="AS10" s="219" t="str">
        <f>IFERROR(VLOOKUP(AR10,'ATP - RSAs'!$E:$E,1,FALSE),"#N/A")</f>
        <v>2 or 3</v>
      </c>
      <c r="AT10" s="219" t="str">
        <f t="shared" si="7"/>
        <v xml:space="preserve"> Unbranded DLBCL Medication DLBCL Infusion Therapy 2 or 3</v>
      </c>
      <c r="AU10" s="219" t="e">
        <f>VLOOKUP(AT10,'ATP - RSAs'!$N:$N,1,FALSE)</f>
        <v>#N/A</v>
      </c>
      <c r="AV10" s="218" t="s">
        <v>57</v>
      </c>
      <c r="AW10" s="218" t="str">
        <f>IFERROR(VLOOKUP(AV10,'ATP - RSAs'!$C:$C,1,FALSE),"#N/A")</f>
        <v>Clinical Trial Results</v>
      </c>
      <c r="AX10" s="219" t="s">
        <v>51</v>
      </c>
      <c r="AY10" s="219" t="str">
        <f>IFERROR(VLOOKUP(AX10,'ATP - RSAs'!$E:$E,1,FALSE),"#N/A")</f>
        <v>2 or 3</v>
      </c>
      <c r="AZ10" s="219" t="str">
        <f t="shared" si="8"/>
        <v xml:space="preserve"> Unbranded DLBCL Medication Clinical Trial Results 2 or 3</v>
      </c>
      <c r="BA10" s="219" t="e">
        <f>VLOOKUP(AZ10,'ATP - RSAs'!$N:$N,1,FALSE)</f>
        <v>#N/A</v>
      </c>
      <c r="BB10" s="218" t="s">
        <v>58</v>
      </c>
      <c r="BC10" s="218" t="str">
        <f>IFERROR(VLOOKUP(BB10,'ATP - RSAs'!$C:$C,1,FALSE),"#N/A")</f>
        <v>Information For Patients</v>
      </c>
      <c r="BD10" s="219" t="s">
        <v>51</v>
      </c>
      <c r="BE10" s="219" t="str">
        <f>IFERROR(VLOOKUP(BD10,'ATP - RSAs'!$E:$E,1,FALSE),"#N/A")</f>
        <v>2 or 3</v>
      </c>
      <c r="BF10" s="219" t="str">
        <f t="shared" si="9"/>
        <v xml:space="preserve"> Unbranded DLBCL Medication Information For Patients 2 or 3</v>
      </c>
      <c r="BG10" s="219" t="e">
        <f>VLOOKUP(BF10,'ATP - RSAs'!$N:$N,1,FALSE)</f>
        <v>#N/A</v>
      </c>
      <c r="BH10" s="218" t="s">
        <v>59</v>
      </c>
      <c r="BI10" s="218" t="str">
        <f>IFERROR(VLOOKUP(BH10,'ATP - RSAs'!$C:$C,1,FALSE),"#N/A")</f>
        <v>Efficacy &amp; Safety Information</v>
      </c>
      <c r="BJ10" s="219" t="s">
        <v>51</v>
      </c>
      <c r="BK10" s="219" t="str">
        <f>IFERROR(VLOOKUP(BJ10,'ATP - RSAs'!$E:$E,1,FALSE),"#N/A")</f>
        <v>2 or 3</v>
      </c>
      <c r="BL10" s="219" t="str">
        <f t="shared" si="10"/>
        <v xml:space="preserve"> Unbranded DLBCL Medication Efficacy &amp; Safety Information 2 or 3</v>
      </c>
      <c r="BM10" s="219" t="e">
        <f>VLOOKUP(BL10,'ATP - RSAs'!$N:$N,1,FALSE)</f>
        <v>#N/A</v>
      </c>
      <c r="BN10" s="218" t="s">
        <v>105</v>
      </c>
      <c r="BO10" s="218" t="str">
        <f>IFERROR(VLOOKUP(BN10,'ATP - RSAs'!$C:$C,1,FALSE),"#N/A")</f>
        <v>DLBCL Intravenous Infusion</v>
      </c>
      <c r="BP10" s="219" t="s">
        <v>51</v>
      </c>
      <c r="BQ10" s="219" t="str">
        <f>IFERROR(VLOOKUP(BP10,'ATP - RSAs'!$E:$E,1,FALSE),"#N/A")</f>
        <v>2 or 3</v>
      </c>
      <c r="BR10" s="219" t="str">
        <f t="shared" si="11"/>
        <v xml:space="preserve"> Unbranded DLBCL Medication DLBCL Intravenous Infusion 2 or 3</v>
      </c>
      <c r="BS10" s="219" t="e">
        <f>VLOOKUP(BR10,'ATP - RSAs'!$N:$N,1,FALSE)</f>
        <v>#N/A</v>
      </c>
      <c r="BT10" s="218" t="s">
        <v>106</v>
      </c>
      <c r="BU10" s="218" t="str">
        <f>IFERROR(VLOOKUP(BT10,'ATP - RSAs'!$C:$C,1,FALSE),"#N/A")</f>
        <v>3L+ DLBCL Dosing Schedule Info</v>
      </c>
      <c r="BV10" s="219" t="s">
        <v>51</v>
      </c>
      <c r="BW10" s="219" t="str">
        <f>IFERROR(VLOOKUP(BV10,'ATP - RSAs'!$E:$E,1,FALSE),"#N/A")</f>
        <v>2 or 3</v>
      </c>
      <c r="BX10" s="219" t="str">
        <f t="shared" si="12"/>
        <v xml:space="preserve"> Unbranded DLBCL Medication 3L+ DLBCL Dosing Schedule Info 2 or 3</v>
      </c>
      <c r="BY10" s="219" t="e">
        <f>VLOOKUP(BX10,'ATP - RSAs'!$N:$N,1,FALSE)</f>
        <v>#N/A</v>
      </c>
      <c r="BZ10" s="218" t="s">
        <v>72</v>
      </c>
      <c r="CA10" s="218" t="str">
        <f>IFERROR(VLOOKUP(BZ10,'ATP - RSAs'!$C:$C,1,FALSE),"#N/A")</f>
        <v>Diffuse Large B-Cell Lymphoma</v>
      </c>
      <c r="CB10" s="219" t="s">
        <v>51</v>
      </c>
      <c r="CC10" s="219" t="str">
        <f>IFERROR(VLOOKUP(CB10,'ATP - RSAs'!$E:$E,1,FALSE),"#N/A")</f>
        <v>2 or 3</v>
      </c>
      <c r="CD10" s="219" t="str">
        <f t="shared" si="13"/>
        <v xml:space="preserve"> Unbranded DLBCL Medication Diffuse Large B-Cell Lymphoma 2 or 3</v>
      </c>
      <c r="CE10" s="219" t="e">
        <f>VLOOKUP(CD10,'ATP - RSAs'!$N:$N,1,FALSE)</f>
        <v>#N/A</v>
      </c>
      <c r="CF10" s="218" t="s">
        <v>63</v>
      </c>
      <c r="CG10" s="218" t="str">
        <f>IFERROR(VLOOKUP(CF10,'ATP - RSAs'!$F:$F,1,FALSE),"#N/A")</f>
        <v>Discover A Fixed-Duration Treatment Option For 3L+ DLBCL And View Important Safety Info.</v>
      </c>
      <c r="CH10" s="219" t="s">
        <v>64</v>
      </c>
      <c r="CI10" s="219" t="str">
        <f>IFERROR(VLOOKUP(CH10,'ATP - RSAs'!$H:$H,1,FALSE),"#N/A")</f>
        <v>Any</v>
      </c>
      <c r="CJ10" s="219" t="str">
        <f t="shared" si="14"/>
        <v>Discover A Fixed-Duration Treatment Option For 3L+ DLBCL And View Important Safety Info. Any</v>
      </c>
      <c r="CK10" s="219" t="str">
        <f>VLOOKUP(CJ10,'ATP - RSAs'!$O:$O,1,FALSE)</f>
        <v>Discover A Fixed-Duration Treatment Option For 3L+ DLBCL And View Important Safety Info. Any</v>
      </c>
      <c r="CL10" s="218" t="s">
        <v>65</v>
      </c>
      <c r="CM10" s="218" t="str">
        <f>IFERROR(VLOOKUP(CL10,'ATP - RSAs'!$F:$F,1,FALSE),"#N/A")</f>
        <v>Download The Patient Brochure To Learn More About A DLBCL Fixed-Duration Treatment.</v>
      </c>
      <c r="CN10" s="219" t="s">
        <v>64</v>
      </c>
      <c r="CO10" s="219" t="str">
        <f>IFERROR(VLOOKUP(CN10,'ATP - RSAs'!$H:$H,1,FALSE),"#N/A")</f>
        <v>Any</v>
      </c>
      <c r="CP10" s="219" t="str">
        <f t="shared" si="15"/>
        <v>Download The Patient Brochure To Learn More About A DLBCL Fixed-Duration Treatment. Any</v>
      </c>
      <c r="CQ10" s="219" t="str">
        <f>VLOOKUP(CP10,'ATP - RSAs'!$O:$O,1,FALSE)</f>
        <v>Download The Patient Brochure To Learn More About A DLBCL Fixed-Duration Treatment. Any</v>
      </c>
      <c r="CR10" s="218" t="s">
        <v>66</v>
      </c>
      <c r="CS10" s="218" t="str">
        <f>IFERROR(VLOOKUP(CR10,'ATP - RSAs'!$F:$F,1,FALSE),"#N/A")</f>
        <v>Explore An Infusion Option For Diffuse Large B Cell Lymphoma &amp; View Clinical Results.</v>
      </c>
      <c r="CT10" s="219" t="s">
        <v>64</v>
      </c>
      <c r="CU10" s="219" t="str">
        <f>IFERROR(VLOOKUP(CT10,'ATP - RSAs'!$H:$H,1,FALSE),"#N/A")</f>
        <v>Any</v>
      </c>
      <c r="CV10" s="219" t="str">
        <f t="shared" si="16"/>
        <v>Explore An Infusion Option For Diffuse Large B Cell Lymphoma &amp; View Clinical Results. Any</v>
      </c>
      <c r="CW10" s="219" t="str">
        <f>VLOOKUP(CV10,'ATP - RSAs'!$O:$O,1,FALSE)</f>
        <v>Explore An Infusion Option For Diffuse Large B Cell Lymphoma &amp; View Clinical Results. Any</v>
      </c>
      <c r="CX10" s="218" t="s">
        <v>74</v>
      </c>
      <c r="CY10" s="218" t="str">
        <f>IFERROR(VLOOKUP(CX10,'ATP - RSAs'!$F:$F,1,FALSE),"#N/A")</f>
        <v>Learn More About Starting Treatment For 3L+ DLBCL After Two Or More Prior Therapies.</v>
      </c>
      <c r="CZ10" s="219" t="s">
        <v>64</v>
      </c>
      <c r="DA10" s="219" t="str">
        <f>IFERROR(VLOOKUP(CZ10,'ATP - RSAs'!$H:$H,1,FALSE),"#N/A")</f>
        <v>Any</v>
      </c>
      <c r="DB10" s="219" t="str">
        <f t="shared" si="17"/>
        <v>Learn More About Starting Treatment For 3L+ DLBCL After Two Or More Prior Therapies. Any</v>
      </c>
      <c r="DC10" s="219" t="str">
        <f>VLOOKUP(DB10,'ATP - RSAs'!$O:$O,1,FALSE)</f>
        <v>Learn More About Starting Treatment For 3L+ DLBCL After Two Or More Prior Therapies. Any</v>
      </c>
      <c r="DD10" s="218" t="s">
        <v>309</v>
      </c>
      <c r="DE10" s="218" t="s">
        <v>107</v>
      </c>
    </row>
    <row r="11" spans="1:109" ht="14.4" x14ac:dyDescent="0.3">
      <c r="A11" s="4"/>
      <c r="B11" s="225" t="str">
        <f>IFERROR(VLOOKUP(A11,'ATP - RSAs'!$A:$A,1,FALSE),"#N/A")</f>
        <v>#N/A</v>
      </c>
      <c r="C11" s="4" t="s">
        <v>109</v>
      </c>
      <c r="D11" s="4" t="str">
        <f>IFERROR(VLOOKUP(C11,'ATP - RSAs'!$B:$B,1,FALSE),"#N/A")</f>
        <v>Unbranded DLBCL Therapy</v>
      </c>
      <c r="E11" s="4" t="str">
        <f t="shared" si="0"/>
        <v xml:space="preserve"> Unbranded DLBCL Therapy</v>
      </c>
      <c r="F11" s="218" t="s">
        <v>110</v>
      </c>
      <c r="G11" s="218" t="str">
        <f>IFERROR(VLOOKUP(F11,'ATP - RSAs'!$C:$C,1,FALSE),"#N/A")</f>
        <v>Therapy Option For 3L+ DLBCL</v>
      </c>
      <c r="H11" s="219">
        <v>1</v>
      </c>
      <c r="I11" s="219">
        <f>IFERROR(VLOOKUP(H11,'ATP - RSAs'!$E:$E,1,FALSE),"#N/A")</f>
        <v>1</v>
      </c>
      <c r="J11" s="219" t="str">
        <f t="shared" si="1"/>
        <v xml:space="preserve"> Unbranded DLBCL Therapy Therapy Option For 3L+ DLBCL 1</v>
      </c>
      <c r="K11" s="219" t="e">
        <f>VLOOKUP(J11,'ATP - RSAs'!$N:$N,1,FALSE)</f>
        <v>#N/A</v>
      </c>
      <c r="L11" s="218" t="s">
        <v>50</v>
      </c>
      <c r="M11" s="218" t="str">
        <f>IFERROR(VLOOKUP(L11,'ATP - RSAs'!$C:$C,1,FALSE),"#N/A")</f>
        <v>Download The Patient Brochure</v>
      </c>
      <c r="N11" s="219" t="s">
        <v>51</v>
      </c>
      <c r="O11" s="219" t="str">
        <f>IFERROR(VLOOKUP(N11,'ATP - RSAs'!$E:$E,1,FALSE),"#N/A")</f>
        <v>2 or 3</v>
      </c>
      <c r="P11" s="219" t="str">
        <f t="shared" si="2"/>
        <v xml:space="preserve"> Unbranded DLBCL Therapy Download The Patient Brochure 2 or 3</v>
      </c>
      <c r="Q11" s="219" t="e">
        <f>VLOOKUP(P11,'ATP - RSAs'!$N:$N,1,FALSE)</f>
        <v>#N/A</v>
      </c>
      <c r="R11" s="218" t="s">
        <v>52</v>
      </c>
      <c r="S11" s="218" t="str">
        <f>IFERROR(VLOOKUP(R11,'ATP - RSAs'!$C:$C,1,FALSE),"#N/A")</f>
        <v>Resources For Patients</v>
      </c>
      <c r="T11" s="219" t="s">
        <v>51</v>
      </c>
      <c r="U11" s="219" t="str">
        <f>IFERROR(VLOOKUP(T11,'ATP - RSAs'!$E:$E,1,FALSE),"#N/A")</f>
        <v>2 or 3</v>
      </c>
      <c r="V11" s="219" t="str">
        <f t="shared" si="3"/>
        <v xml:space="preserve"> Unbranded DLBCL Therapy Resources For Patients 2 or 3</v>
      </c>
      <c r="W11" s="219" t="e">
        <f>VLOOKUP(V11,'ATP - RSAs'!$N:$N,1,FALSE)</f>
        <v>#N/A</v>
      </c>
      <c r="X11" s="218" t="s">
        <v>53</v>
      </c>
      <c r="Y11" s="218" t="str">
        <f>IFERROR(VLOOKUP(X11,'ATP - RSAs'!$C:$C,1,FALSE),"#N/A")</f>
        <v>Financial Assistance Options</v>
      </c>
      <c r="Z11" s="219" t="s">
        <v>51</v>
      </c>
      <c r="AA11" s="219" t="str">
        <f>IFERROR(VLOOKUP(Z11,'ATP - RSAs'!$E:$E,1,FALSE),"#N/A")</f>
        <v>2 or 3</v>
      </c>
      <c r="AB11" s="219" t="str">
        <f t="shared" si="4"/>
        <v xml:space="preserve"> Unbranded DLBCL Therapy Financial Assistance Options 2 or 3</v>
      </c>
      <c r="AC11" s="219" t="e">
        <f>VLOOKUP(AB11,'ATP - RSAs'!$N:$N,1,FALSE)</f>
        <v>#N/A</v>
      </c>
      <c r="AD11" s="218" t="s">
        <v>54</v>
      </c>
      <c r="AE11" s="218" t="str">
        <f>IFERROR(VLOOKUP(AD11,'ATP - RSAs'!$C:$C,1,FALSE),"#N/A")</f>
        <v>Important Safety Information</v>
      </c>
      <c r="AF11" s="219" t="s">
        <v>51</v>
      </c>
      <c r="AG11" s="219" t="str">
        <f>IFERROR(VLOOKUP(AF11,'ATP - RSAs'!$E:$E,1,FALSE),"#N/A")</f>
        <v>2 or 3</v>
      </c>
      <c r="AH11" s="219" t="str">
        <f t="shared" si="5"/>
        <v xml:space="preserve"> Unbranded DLBCL Therapy Important Safety Information 2 or 3</v>
      </c>
      <c r="AI11" s="219" t="e">
        <f>VLOOKUP(AH11,'ATP - RSAs'!$N:$N,1,FALSE)</f>
        <v>#N/A</v>
      </c>
      <c r="AJ11" s="218" t="s">
        <v>55</v>
      </c>
      <c r="AK11" s="218" t="str">
        <f>IFERROR(VLOOKUP(AJ11,'ATP - RSAs'!$C:$C,1,FALSE),"#N/A")</f>
        <v>Questions To Ask Your Doctor</v>
      </c>
      <c r="AL11" s="219" t="s">
        <v>51</v>
      </c>
      <c r="AM11" s="219" t="str">
        <f>IFERROR(VLOOKUP(AL11,'ATP - RSAs'!$E:$E,1,FALSE),"#N/A")</f>
        <v>2 or 3</v>
      </c>
      <c r="AN11" s="219" t="str">
        <f t="shared" si="6"/>
        <v xml:space="preserve"> Unbranded DLBCL Therapy Questions To Ask Your Doctor 2 or 3</v>
      </c>
      <c r="AO11" s="219" t="e">
        <f>VLOOKUP(AN11,'ATP - RSAs'!$N:$N,1,FALSE)</f>
        <v>#N/A</v>
      </c>
      <c r="AP11" s="218" t="s">
        <v>56</v>
      </c>
      <c r="AQ11" s="218" t="str">
        <f>IFERROR(VLOOKUP(AP11,'ATP - RSAs'!$C:$C,1,FALSE),"#N/A")</f>
        <v>DLBCL Infusion Therapy</v>
      </c>
      <c r="AR11" s="219" t="s">
        <v>51</v>
      </c>
      <c r="AS11" s="219" t="str">
        <f>IFERROR(VLOOKUP(AR11,'ATP - RSAs'!$E:$E,1,FALSE),"#N/A")</f>
        <v>2 or 3</v>
      </c>
      <c r="AT11" s="219" t="str">
        <f t="shared" si="7"/>
        <v xml:space="preserve"> Unbranded DLBCL Therapy DLBCL Infusion Therapy 2 or 3</v>
      </c>
      <c r="AU11" s="219" t="e">
        <f>VLOOKUP(AT11,'ATP - RSAs'!$N:$N,1,FALSE)</f>
        <v>#N/A</v>
      </c>
      <c r="AV11" s="218" t="s">
        <v>57</v>
      </c>
      <c r="AW11" s="218" t="str">
        <f>IFERROR(VLOOKUP(AV11,'ATP - RSAs'!$C:$C,1,FALSE),"#N/A")</f>
        <v>Clinical Trial Results</v>
      </c>
      <c r="AX11" s="219" t="s">
        <v>51</v>
      </c>
      <c r="AY11" s="219" t="str">
        <f>IFERROR(VLOOKUP(AX11,'ATP - RSAs'!$E:$E,1,FALSE),"#N/A")</f>
        <v>2 or 3</v>
      </c>
      <c r="AZ11" s="219" t="str">
        <f t="shared" si="8"/>
        <v xml:space="preserve"> Unbranded DLBCL Therapy Clinical Trial Results 2 or 3</v>
      </c>
      <c r="BA11" s="219" t="e">
        <f>VLOOKUP(AZ11,'ATP - RSAs'!$N:$N,1,FALSE)</f>
        <v>#N/A</v>
      </c>
      <c r="BB11" s="218" t="s">
        <v>58</v>
      </c>
      <c r="BC11" s="218" t="str">
        <f>IFERROR(VLOOKUP(BB11,'ATP - RSAs'!$C:$C,1,FALSE),"#N/A")</f>
        <v>Information For Patients</v>
      </c>
      <c r="BD11" s="219" t="s">
        <v>51</v>
      </c>
      <c r="BE11" s="219" t="str">
        <f>IFERROR(VLOOKUP(BD11,'ATP - RSAs'!$E:$E,1,FALSE),"#N/A")</f>
        <v>2 or 3</v>
      </c>
      <c r="BF11" s="219" t="str">
        <f t="shared" si="9"/>
        <v xml:space="preserve"> Unbranded DLBCL Therapy Information For Patients 2 or 3</v>
      </c>
      <c r="BG11" s="219" t="e">
        <f>VLOOKUP(BF11,'ATP - RSAs'!$N:$N,1,FALSE)</f>
        <v>#N/A</v>
      </c>
      <c r="BH11" s="218" t="s">
        <v>59</v>
      </c>
      <c r="BI11" s="218" t="str">
        <f>IFERROR(VLOOKUP(BH11,'ATP - RSAs'!$C:$C,1,FALSE),"#N/A")</f>
        <v>Efficacy &amp; Safety Information</v>
      </c>
      <c r="BJ11" s="219" t="s">
        <v>51</v>
      </c>
      <c r="BK11" s="219" t="str">
        <f>IFERROR(VLOOKUP(BJ11,'ATP - RSAs'!$E:$E,1,FALSE),"#N/A")</f>
        <v>2 or 3</v>
      </c>
      <c r="BL11" s="219" t="str">
        <f t="shared" si="10"/>
        <v xml:space="preserve"> Unbranded DLBCL Therapy Efficacy &amp; Safety Information 2 or 3</v>
      </c>
      <c r="BM11" s="219" t="e">
        <f>VLOOKUP(BL11,'ATP - RSAs'!$N:$N,1,FALSE)</f>
        <v>#N/A</v>
      </c>
      <c r="BN11" s="218" t="s">
        <v>105</v>
      </c>
      <c r="BO11" s="218" t="str">
        <f>IFERROR(VLOOKUP(BN11,'ATP - RSAs'!$C:$C,1,FALSE),"#N/A")</f>
        <v>DLBCL Intravenous Infusion</v>
      </c>
      <c r="BP11" s="219" t="s">
        <v>51</v>
      </c>
      <c r="BQ11" s="219" t="str">
        <f>IFERROR(VLOOKUP(BP11,'ATP - RSAs'!$E:$E,1,FALSE),"#N/A")</f>
        <v>2 or 3</v>
      </c>
      <c r="BR11" s="219" t="str">
        <f t="shared" si="11"/>
        <v xml:space="preserve"> Unbranded DLBCL Therapy DLBCL Intravenous Infusion 2 or 3</v>
      </c>
      <c r="BS11" s="219" t="e">
        <f>VLOOKUP(BR11,'ATP - RSAs'!$N:$N,1,FALSE)</f>
        <v>#N/A</v>
      </c>
      <c r="BT11" s="218" t="s">
        <v>99</v>
      </c>
      <c r="BU11" s="218" t="str">
        <f>IFERROR(VLOOKUP(BT11,'ATP - RSAs'!$C:$C,1,FALSE),"#N/A")</f>
        <v>DLBCL Symptoms</v>
      </c>
      <c r="BV11" s="219" t="s">
        <v>51</v>
      </c>
      <c r="BW11" s="219" t="str">
        <f>IFERROR(VLOOKUP(BV11,'ATP - RSAs'!$E:$E,1,FALSE),"#N/A")</f>
        <v>2 or 3</v>
      </c>
      <c r="BX11" s="219" t="str">
        <f t="shared" si="12"/>
        <v xml:space="preserve"> Unbranded DLBCL Therapy DLBCL Symptoms 2 or 3</v>
      </c>
      <c r="BY11" s="219" t="e">
        <f>VLOOKUP(BX11,'ATP - RSAs'!$N:$N,1,FALSE)</f>
        <v>#N/A</v>
      </c>
      <c r="BZ11" s="218" t="s">
        <v>111</v>
      </c>
      <c r="CA11" s="218" t="str">
        <f>IFERROR(VLOOKUP(BZ11,'ATP - RSAs'!$C:$C,1,FALSE),"#N/A")</f>
        <v>3L+ DLBCL Therapy Option</v>
      </c>
      <c r="CB11" s="219" t="s">
        <v>51</v>
      </c>
      <c r="CC11" s="219" t="str">
        <f>IFERROR(VLOOKUP(CB11,'ATP - RSAs'!$E:$E,1,FALSE),"#N/A")</f>
        <v>2 or 3</v>
      </c>
      <c r="CD11" s="219" t="str">
        <f t="shared" si="13"/>
        <v xml:space="preserve"> Unbranded DLBCL Therapy 3L+ DLBCL Therapy Option 2 or 3</v>
      </c>
      <c r="CE11" s="219" t="e">
        <f>VLOOKUP(CD11,'ATP - RSAs'!$N:$N,1,FALSE)</f>
        <v>#N/A</v>
      </c>
      <c r="CF11" s="218" t="s">
        <v>63</v>
      </c>
      <c r="CG11" s="218" t="str">
        <f>IFERROR(VLOOKUP(CF11,'ATP - RSAs'!$F:$F,1,FALSE),"#N/A")</f>
        <v>Discover A Fixed-Duration Treatment Option For 3L+ DLBCL And View Important Safety Info.</v>
      </c>
      <c r="CH11" s="219" t="s">
        <v>64</v>
      </c>
      <c r="CI11" s="219" t="str">
        <f>IFERROR(VLOOKUP(CH11,'ATP - RSAs'!$H:$H,1,FALSE),"#N/A")</f>
        <v>Any</v>
      </c>
      <c r="CJ11" s="219" t="str">
        <f t="shared" si="14"/>
        <v>Discover A Fixed-Duration Treatment Option For 3L+ DLBCL And View Important Safety Info. Any</v>
      </c>
      <c r="CK11" s="219" t="str">
        <f>VLOOKUP(CJ11,'ATP - RSAs'!$O:$O,1,FALSE)</f>
        <v>Discover A Fixed-Duration Treatment Option For 3L+ DLBCL And View Important Safety Info. Any</v>
      </c>
      <c r="CL11" s="218" t="s">
        <v>65</v>
      </c>
      <c r="CM11" s="218" t="str">
        <f>IFERROR(VLOOKUP(CL11,'ATP - RSAs'!$F:$F,1,FALSE),"#N/A")</f>
        <v>Download The Patient Brochure To Learn More About A DLBCL Fixed-Duration Treatment.</v>
      </c>
      <c r="CN11" s="219" t="s">
        <v>64</v>
      </c>
      <c r="CO11" s="219" t="str">
        <f>IFERROR(VLOOKUP(CN11,'ATP - RSAs'!$H:$H,1,FALSE),"#N/A")</f>
        <v>Any</v>
      </c>
      <c r="CP11" s="219" t="str">
        <f t="shared" si="15"/>
        <v>Download The Patient Brochure To Learn More About A DLBCL Fixed-Duration Treatment. Any</v>
      </c>
      <c r="CQ11" s="219" t="str">
        <f>VLOOKUP(CP11,'ATP - RSAs'!$O:$O,1,FALSE)</f>
        <v>Download The Patient Brochure To Learn More About A DLBCL Fixed-Duration Treatment. Any</v>
      </c>
      <c r="CR11" s="218" t="s">
        <v>66</v>
      </c>
      <c r="CS11" s="218" t="str">
        <f>IFERROR(VLOOKUP(CR11,'ATP - RSAs'!$F:$F,1,FALSE),"#N/A")</f>
        <v>Explore An Infusion Option For Diffuse Large B Cell Lymphoma &amp; View Clinical Results.</v>
      </c>
      <c r="CT11" s="219" t="s">
        <v>64</v>
      </c>
      <c r="CU11" s="219" t="str">
        <f>IFERROR(VLOOKUP(CT11,'ATP - RSAs'!$H:$H,1,FALSE),"#N/A")</f>
        <v>Any</v>
      </c>
      <c r="CV11" s="219" t="str">
        <f t="shared" si="16"/>
        <v>Explore An Infusion Option For Diffuse Large B Cell Lymphoma &amp; View Clinical Results. Any</v>
      </c>
      <c r="CW11" s="219" t="str">
        <f>VLOOKUP(CV11,'ATP - RSAs'!$O:$O,1,FALSE)</f>
        <v>Explore An Infusion Option For Diffuse Large B Cell Lymphoma &amp; View Clinical Results. Any</v>
      </c>
      <c r="CX11" s="218" t="s">
        <v>74</v>
      </c>
      <c r="CY11" s="218" t="str">
        <f>IFERROR(VLOOKUP(CX11,'ATP - RSAs'!$F:$F,1,FALSE),"#N/A")</f>
        <v>Learn More About Starting Treatment For 3L+ DLBCL After Two Or More Prior Therapies.</v>
      </c>
      <c r="CZ11" s="219" t="s">
        <v>64</v>
      </c>
      <c r="DA11" s="219" t="str">
        <f>IFERROR(VLOOKUP(CZ11,'ATP - RSAs'!$H:$H,1,FALSE),"#N/A")</f>
        <v>Any</v>
      </c>
      <c r="DB11" s="219" t="str">
        <f t="shared" si="17"/>
        <v>Learn More About Starting Treatment For 3L+ DLBCL After Two Or More Prior Therapies. Any</v>
      </c>
      <c r="DC11" s="219" t="str">
        <f>VLOOKUP(DB11,'ATP - RSAs'!$O:$O,1,FALSE)</f>
        <v>Learn More About Starting Treatment For 3L+ DLBCL After Two Or More Prior Therapies. Any</v>
      </c>
      <c r="DD11" s="218" t="s">
        <v>309</v>
      </c>
      <c r="DE11" s="218" t="s">
        <v>107</v>
      </c>
    </row>
    <row r="12" spans="1:109" ht="14.4" x14ac:dyDescent="0.3">
      <c r="A12" s="4"/>
      <c r="B12" s="225" t="str">
        <f>IFERROR(VLOOKUP(A12,'ATP - RSAs'!$A:$A,1,FALSE),"#N/A")</f>
        <v>#N/A</v>
      </c>
      <c r="C12" s="4" t="s">
        <v>113</v>
      </c>
      <c r="D12" s="4" t="str">
        <f>IFERROR(VLOOKUP(C12,'ATP - RSAs'!$B:$B,1,FALSE),"#N/A")</f>
        <v>Unbranded DLBCL Dosing</v>
      </c>
      <c r="E12" s="4" t="str">
        <f t="shared" si="0"/>
        <v xml:space="preserve"> Unbranded DLBCL Dosing</v>
      </c>
      <c r="F12" s="218" t="s">
        <v>110</v>
      </c>
      <c r="G12" s="218" t="str">
        <f>IFERROR(VLOOKUP(F12,'ATP - RSAs'!$C:$C,1,FALSE),"#N/A")</f>
        <v>Therapy Option For 3L+ DLBCL</v>
      </c>
      <c r="H12" s="219">
        <v>1</v>
      </c>
      <c r="I12" s="219">
        <f>IFERROR(VLOOKUP(H12,'ATP - RSAs'!$E:$E,1,FALSE),"#N/A")</f>
        <v>1</v>
      </c>
      <c r="J12" s="219" t="str">
        <f t="shared" si="1"/>
        <v xml:space="preserve"> Unbranded DLBCL Dosing Therapy Option For 3L+ DLBCL 1</v>
      </c>
      <c r="K12" s="219" t="e">
        <f>VLOOKUP(J12,'ATP - RSAs'!$N:$N,1,FALSE)</f>
        <v>#N/A</v>
      </c>
      <c r="L12" s="218" t="s">
        <v>50</v>
      </c>
      <c r="M12" s="218" t="str">
        <f>IFERROR(VLOOKUP(L12,'ATP - RSAs'!$C:$C,1,FALSE),"#N/A")</f>
        <v>Download The Patient Brochure</v>
      </c>
      <c r="N12" s="219" t="s">
        <v>51</v>
      </c>
      <c r="O12" s="219" t="str">
        <f>IFERROR(VLOOKUP(N12,'ATP - RSAs'!$E:$E,1,FALSE),"#N/A")</f>
        <v>2 or 3</v>
      </c>
      <c r="P12" s="219" t="str">
        <f t="shared" si="2"/>
        <v xml:space="preserve"> Unbranded DLBCL Dosing Download The Patient Brochure 2 or 3</v>
      </c>
      <c r="Q12" s="219" t="e">
        <f>VLOOKUP(P12,'ATP - RSAs'!$N:$N,1,FALSE)</f>
        <v>#N/A</v>
      </c>
      <c r="R12" s="218" t="s">
        <v>52</v>
      </c>
      <c r="S12" s="218" t="str">
        <f>IFERROR(VLOOKUP(R12,'ATP - RSAs'!$C:$C,1,FALSE),"#N/A")</f>
        <v>Resources For Patients</v>
      </c>
      <c r="T12" s="219" t="s">
        <v>51</v>
      </c>
      <c r="U12" s="219" t="str">
        <f>IFERROR(VLOOKUP(T12,'ATP - RSAs'!$E:$E,1,FALSE),"#N/A")</f>
        <v>2 or 3</v>
      </c>
      <c r="V12" s="219" t="str">
        <f t="shared" si="3"/>
        <v xml:space="preserve"> Unbranded DLBCL Dosing Resources For Patients 2 or 3</v>
      </c>
      <c r="W12" s="219" t="e">
        <f>VLOOKUP(V12,'ATP - RSAs'!$N:$N,1,FALSE)</f>
        <v>#N/A</v>
      </c>
      <c r="X12" s="218" t="s">
        <v>53</v>
      </c>
      <c r="Y12" s="218" t="str">
        <f>IFERROR(VLOOKUP(X12,'ATP - RSAs'!$C:$C,1,FALSE),"#N/A")</f>
        <v>Financial Assistance Options</v>
      </c>
      <c r="Z12" s="219" t="s">
        <v>51</v>
      </c>
      <c r="AA12" s="219" t="str">
        <f>IFERROR(VLOOKUP(Z12,'ATP - RSAs'!$E:$E,1,FALSE),"#N/A")</f>
        <v>2 or 3</v>
      </c>
      <c r="AB12" s="219" t="str">
        <f t="shared" si="4"/>
        <v xml:space="preserve"> Unbranded DLBCL Dosing Financial Assistance Options 2 or 3</v>
      </c>
      <c r="AC12" s="219" t="e">
        <f>VLOOKUP(AB12,'ATP - RSAs'!$N:$N,1,FALSE)</f>
        <v>#N/A</v>
      </c>
      <c r="AD12" s="218" t="s">
        <v>54</v>
      </c>
      <c r="AE12" s="218" t="str">
        <f>IFERROR(VLOOKUP(AD12,'ATP - RSAs'!$C:$C,1,FALSE),"#N/A")</f>
        <v>Important Safety Information</v>
      </c>
      <c r="AF12" s="219" t="s">
        <v>51</v>
      </c>
      <c r="AG12" s="219" t="str">
        <f>IFERROR(VLOOKUP(AF12,'ATP - RSAs'!$E:$E,1,FALSE),"#N/A")</f>
        <v>2 or 3</v>
      </c>
      <c r="AH12" s="219" t="str">
        <f t="shared" si="5"/>
        <v xml:space="preserve"> Unbranded DLBCL Dosing Important Safety Information 2 or 3</v>
      </c>
      <c r="AI12" s="219" t="e">
        <f>VLOOKUP(AH12,'ATP - RSAs'!$N:$N,1,FALSE)</f>
        <v>#N/A</v>
      </c>
      <c r="AJ12" s="218" t="s">
        <v>55</v>
      </c>
      <c r="AK12" s="218" t="str">
        <f>IFERROR(VLOOKUP(AJ12,'ATP - RSAs'!$C:$C,1,FALSE),"#N/A")</f>
        <v>Questions To Ask Your Doctor</v>
      </c>
      <c r="AL12" s="219" t="s">
        <v>51</v>
      </c>
      <c r="AM12" s="219" t="str">
        <f>IFERROR(VLOOKUP(AL12,'ATP - RSAs'!$E:$E,1,FALSE),"#N/A")</f>
        <v>2 or 3</v>
      </c>
      <c r="AN12" s="219" t="str">
        <f t="shared" si="6"/>
        <v xml:space="preserve"> Unbranded DLBCL Dosing Questions To Ask Your Doctor 2 or 3</v>
      </c>
      <c r="AO12" s="219" t="e">
        <f>VLOOKUP(AN12,'ATP - RSAs'!$N:$N,1,FALSE)</f>
        <v>#N/A</v>
      </c>
      <c r="AP12" s="218" t="s">
        <v>56</v>
      </c>
      <c r="AQ12" s="218" t="str">
        <f>IFERROR(VLOOKUP(AP12,'ATP - RSAs'!$C:$C,1,FALSE),"#N/A")</f>
        <v>DLBCL Infusion Therapy</v>
      </c>
      <c r="AR12" s="219" t="s">
        <v>51</v>
      </c>
      <c r="AS12" s="219" t="str">
        <f>IFERROR(VLOOKUP(AR12,'ATP - RSAs'!$E:$E,1,FALSE),"#N/A")</f>
        <v>2 or 3</v>
      </c>
      <c r="AT12" s="219" t="str">
        <f t="shared" si="7"/>
        <v xml:space="preserve"> Unbranded DLBCL Dosing DLBCL Infusion Therapy 2 or 3</v>
      </c>
      <c r="AU12" s="219" t="e">
        <f>VLOOKUP(AT12,'ATP - RSAs'!$N:$N,1,FALSE)</f>
        <v>#N/A</v>
      </c>
      <c r="AV12" s="218" t="s">
        <v>57</v>
      </c>
      <c r="AW12" s="218" t="str">
        <f>IFERROR(VLOOKUP(AV12,'ATP - RSAs'!$C:$C,1,FALSE),"#N/A")</f>
        <v>Clinical Trial Results</v>
      </c>
      <c r="AX12" s="219" t="s">
        <v>51</v>
      </c>
      <c r="AY12" s="219" t="str">
        <f>IFERROR(VLOOKUP(AX12,'ATP - RSAs'!$E:$E,1,FALSE),"#N/A")</f>
        <v>2 or 3</v>
      </c>
      <c r="AZ12" s="219" t="str">
        <f t="shared" si="8"/>
        <v xml:space="preserve"> Unbranded DLBCL Dosing Clinical Trial Results 2 or 3</v>
      </c>
      <c r="BA12" s="219" t="e">
        <f>VLOOKUP(AZ12,'ATP - RSAs'!$N:$N,1,FALSE)</f>
        <v>#N/A</v>
      </c>
      <c r="BB12" s="218" t="s">
        <v>58</v>
      </c>
      <c r="BC12" s="218" t="str">
        <f>IFERROR(VLOOKUP(BB12,'ATP - RSAs'!$C:$C,1,FALSE),"#N/A")</f>
        <v>Information For Patients</v>
      </c>
      <c r="BD12" s="219" t="s">
        <v>51</v>
      </c>
      <c r="BE12" s="219" t="str">
        <f>IFERROR(VLOOKUP(BD12,'ATP - RSAs'!$E:$E,1,FALSE),"#N/A")</f>
        <v>2 or 3</v>
      </c>
      <c r="BF12" s="219" t="str">
        <f t="shared" si="9"/>
        <v xml:space="preserve"> Unbranded DLBCL Dosing Information For Patients 2 or 3</v>
      </c>
      <c r="BG12" s="219" t="e">
        <f>VLOOKUP(BF12,'ATP - RSAs'!$N:$N,1,FALSE)</f>
        <v>#N/A</v>
      </c>
      <c r="BH12" s="218" t="s">
        <v>59</v>
      </c>
      <c r="BI12" s="218" t="str">
        <f>IFERROR(VLOOKUP(BH12,'ATP - RSAs'!$C:$C,1,FALSE),"#N/A")</f>
        <v>Efficacy &amp; Safety Information</v>
      </c>
      <c r="BJ12" s="219" t="s">
        <v>51</v>
      </c>
      <c r="BK12" s="219" t="str">
        <f>IFERROR(VLOOKUP(BJ12,'ATP - RSAs'!$E:$E,1,FALSE),"#N/A")</f>
        <v>2 or 3</v>
      </c>
      <c r="BL12" s="219" t="str">
        <f t="shared" si="10"/>
        <v xml:space="preserve"> Unbranded DLBCL Dosing Efficacy &amp; Safety Information 2 or 3</v>
      </c>
      <c r="BM12" s="219" t="e">
        <f>VLOOKUP(BL12,'ATP - RSAs'!$N:$N,1,FALSE)</f>
        <v>#N/A</v>
      </c>
      <c r="BN12" s="218" t="s">
        <v>105</v>
      </c>
      <c r="BO12" s="218" t="str">
        <f>IFERROR(VLOOKUP(BN12,'ATP - RSAs'!$C:$C,1,FALSE),"#N/A")</f>
        <v>DLBCL Intravenous Infusion</v>
      </c>
      <c r="BP12" s="219" t="s">
        <v>51</v>
      </c>
      <c r="BQ12" s="219" t="str">
        <f>IFERROR(VLOOKUP(BP12,'ATP - RSAs'!$E:$E,1,FALSE),"#N/A")</f>
        <v>2 or 3</v>
      </c>
      <c r="BR12" s="219" t="str">
        <f t="shared" si="11"/>
        <v xml:space="preserve"> Unbranded DLBCL Dosing DLBCL Intravenous Infusion 2 or 3</v>
      </c>
      <c r="BS12" s="219" t="e">
        <f>VLOOKUP(BR12,'ATP - RSAs'!$N:$N,1,FALSE)</f>
        <v>#N/A</v>
      </c>
      <c r="BT12" s="218" t="s">
        <v>99</v>
      </c>
      <c r="BU12" s="218" t="str">
        <f>IFERROR(VLOOKUP(BT12,'ATP - RSAs'!$C:$C,1,FALSE),"#N/A")</f>
        <v>DLBCL Symptoms</v>
      </c>
      <c r="BV12" s="219" t="s">
        <v>51</v>
      </c>
      <c r="BW12" s="219" t="str">
        <f>IFERROR(VLOOKUP(BV12,'ATP - RSAs'!$E:$E,1,FALSE),"#N/A")</f>
        <v>2 or 3</v>
      </c>
      <c r="BX12" s="219" t="str">
        <f t="shared" si="12"/>
        <v xml:space="preserve"> Unbranded DLBCL Dosing DLBCL Symptoms 2 or 3</v>
      </c>
      <c r="BY12" s="219" t="e">
        <f>VLOOKUP(BX12,'ATP - RSAs'!$N:$N,1,FALSE)</f>
        <v>#N/A</v>
      </c>
      <c r="BZ12" s="218" t="s">
        <v>111</v>
      </c>
      <c r="CA12" s="218" t="str">
        <f>IFERROR(VLOOKUP(BZ12,'ATP - RSAs'!$C:$C,1,FALSE),"#N/A")</f>
        <v>3L+ DLBCL Therapy Option</v>
      </c>
      <c r="CB12" s="219" t="s">
        <v>51</v>
      </c>
      <c r="CC12" s="219" t="str">
        <f>IFERROR(VLOOKUP(CB12,'ATP - RSAs'!$E:$E,1,FALSE),"#N/A")</f>
        <v>2 or 3</v>
      </c>
      <c r="CD12" s="219" t="str">
        <f t="shared" si="13"/>
        <v xml:space="preserve"> Unbranded DLBCL Dosing 3L+ DLBCL Therapy Option 2 or 3</v>
      </c>
      <c r="CE12" s="219" t="e">
        <f>VLOOKUP(CD12,'ATP - RSAs'!$N:$N,1,FALSE)</f>
        <v>#N/A</v>
      </c>
      <c r="CF12" s="218" t="s">
        <v>63</v>
      </c>
      <c r="CG12" s="218" t="str">
        <f>IFERROR(VLOOKUP(CF12,'ATP - RSAs'!$F:$F,1,FALSE),"#N/A")</f>
        <v>Discover A Fixed-Duration Treatment Option For 3L+ DLBCL And View Important Safety Info.</v>
      </c>
      <c r="CH12" s="219" t="s">
        <v>64</v>
      </c>
      <c r="CI12" s="219" t="str">
        <f>IFERROR(VLOOKUP(CH12,'ATP - RSAs'!$H:$H,1,FALSE),"#N/A")</f>
        <v>Any</v>
      </c>
      <c r="CJ12" s="219" t="str">
        <f t="shared" si="14"/>
        <v>Discover A Fixed-Duration Treatment Option For 3L+ DLBCL And View Important Safety Info. Any</v>
      </c>
      <c r="CK12" s="219" t="str">
        <f>VLOOKUP(CJ12,'ATP - RSAs'!$O:$O,1,FALSE)</f>
        <v>Discover A Fixed-Duration Treatment Option For 3L+ DLBCL And View Important Safety Info. Any</v>
      </c>
      <c r="CL12" s="218" t="s">
        <v>65</v>
      </c>
      <c r="CM12" s="218" t="str">
        <f>IFERROR(VLOOKUP(CL12,'ATP - RSAs'!$F:$F,1,FALSE),"#N/A")</f>
        <v>Download The Patient Brochure To Learn More About A DLBCL Fixed-Duration Treatment.</v>
      </c>
      <c r="CN12" s="219" t="s">
        <v>64</v>
      </c>
      <c r="CO12" s="219" t="str">
        <f>IFERROR(VLOOKUP(CN12,'ATP - RSAs'!$H:$H,1,FALSE),"#N/A")</f>
        <v>Any</v>
      </c>
      <c r="CP12" s="219" t="str">
        <f t="shared" si="15"/>
        <v>Download The Patient Brochure To Learn More About A DLBCL Fixed-Duration Treatment. Any</v>
      </c>
      <c r="CQ12" s="219" t="str">
        <f>VLOOKUP(CP12,'ATP - RSAs'!$O:$O,1,FALSE)</f>
        <v>Download The Patient Brochure To Learn More About A DLBCL Fixed-Duration Treatment. Any</v>
      </c>
      <c r="CR12" s="218" t="s">
        <v>66</v>
      </c>
      <c r="CS12" s="218" t="str">
        <f>IFERROR(VLOOKUP(CR12,'ATP - RSAs'!$F:$F,1,FALSE),"#N/A")</f>
        <v>Explore An Infusion Option For Diffuse Large B Cell Lymphoma &amp; View Clinical Results.</v>
      </c>
      <c r="CT12" s="219" t="s">
        <v>64</v>
      </c>
      <c r="CU12" s="219" t="str">
        <f>IFERROR(VLOOKUP(CT12,'ATP - RSAs'!$H:$H,1,FALSE),"#N/A")</f>
        <v>Any</v>
      </c>
      <c r="CV12" s="219" t="str">
        <f t="shared" si="16"/>
        <v>Explore An Infusion Option For Diffuse Large B Cell Lymphoma &amp; View Clinical Results. Any</v>
      </c>
      <c r="CW12" s="219" t="str">
        <f>VLOOKUP(CV12,'ATP - RSAs'!$O:$O,1,FALSE)</f>
        <v>Explore An Infusion Option For Diffuse Large B Cell Lymphoma &amp; View Clinical Results. Any</v>
      </c>
      <c r="CX12" s="218" t="s">
        <v>74</v>
      </c>
      <c r="CY12" s="218" t="str">
        <f>IFERROR(VLOOKUP(CX12,'ATP - RSAs'!$F:$F,1,FALSE),"#N/A")</f>
        <v>Learn More About Starting Treatment For 3L+ DLBCL After Two Or More Prior Therapies.</v>
      </c>
      <c r="CZ12" s="219" t="s">
        <v>64</v>
      </c>
      <c r="DA12" s="219" t="str">
        <f>IFERROR(VLOOKUP(CZ12,'ATP - RSAs'!$H:$H,1,FALSE),"#N/A")</f>
        <v>Any</v>
      </c>
      <c r="DB12" s="219" t="str">
        <f t="shared" si="17"/>
        <v>Learn More About Starting Treatment For 3L+ DLBCL After Two Or More Prior Therapies. Any</v>
      </c>
      <c r="DC12" s="219" t="str">
        <f>VLOOKUP(DB12,'ATP - RSAs'!$O:$O,1,FALSE)</f>
        <v>Learn More About Starting Treatment For 3L+ DLBCL After Two Or More Prior Therapies. Any</v>
      </c>
      <c r="DD12" s="218" t="s">
        <v>309</v>
      </c>
      <c r="DE12" s="218" t="s">
        <v>107</v>
      </c>
    </row>
    <row r="13" spans="1:109" ht="14.4" x14ac:dyDescent="0.3">
      <c r="A13" s="4"/>
      <c r="B13" s="225" t="str">
        <f>IFERROR(VLOOKUP(A13,'ATP - RSAs'!$A:$A,1,FALSE),"#N/A")</f>
        <v>#N/A</v>
      </c>
      <c r="C13" s="4" t="s">
        <v>46</v>
      </c>
      <c r="D13" s="4" t="str">
        <f>IFERROR(VLOOKUP(C13,'ATP - RSAs'!$B:$B,1,FALSE),"#N/A")</f>
        <v>Unbranded Condition</v>
      </c>
      <c r="E13" s="4" t="str">
        <f t="shared" si="0"/>
        <v xml:space="preserve"> Unbranded Condition</v>
      </c>
      <c r="F13" s="218" t="s">
        <v>49</v>
      </c>
      <c r="G13" s="218" t="str">
        <f>IFERROR(VLOOKUP(F13,'ATP - RSAs'!$C:$C,1,FALSE),"#N/A")</f>
        <v>Treatment Option For 3L+ DLBCL</v>
      </c>
      <c r="H13" s="219">
        <v>1</v>
      </c>
      <c r="I13" s="219">
        <f>IFERROR(VLOOKUP(H13,'ATP - RSAs'!$E:$E,1,FALSE),"#N/A")</f>
        <v>1</v>
      </c>
      <c r="J13" s="219" t="str">
        <f t="shared" si="1"/>
        <v xml:space="preserve"> Unbranded Condition Treatment Option For 3L+ DLBCL 1</v>
      </c>
      <c r="K13" s="219" t="e">
        <f>VLOOKUP(J13,'ATP - RSAs'!$N:$N,1,FALSE)</f>
        <v>#N/A</v>
      </c>
      <c r="L13" s="218" t="s">
        <v>50</v>
      </c>
      <c r="M13" s="218" t="str">
        <f>IFERROR(VLOOKUP(L13,'ATP - RSAs'!$C:$C,1,FALSE),"#N/A")</f>
        <v>Download The Patient Brochure</v>
      </c>
      <c r="N13" s="219" t="s">
        <v>51</v>
      </c>
      <c r="O13" s="219" t="str">
        <f>IFERROR(VLOOKUP(N13,'ATP - RSAs'!$E:$E,1,FALSE),"#N/A")</f>
        <v>2 or 3</v>
      </c>
      <c r="P13" s="219" t="str">
        <f t="shared" si="2"/>
        <v xml:space="preserve"> Unbranded Condition Download The Patient Brochure 2 or 3</v>
      </c>
      <c r="Q13" s="219" t="e">
        <f>VLOOKUP(P13,'ATP - RSAs'!$N:$N,1,FALSE)</f>
        <v>#N/A</v>
      </c>
      <c r="R13" s="218" t="s">
        <v>52</v>
      </c>
      <c r="S13" s="218" t="str">
        <f>IFERROR(VLOOKUP(R13,'ATP - RSAs'!$C:$C,1,FALSE),"#N/A")</f>
        <v>Resources For Patients</v>
      </c>
      <c r="T13" s="219" t="s">
        <v>51</v>
      </c>
      <c r="U13" s="219" t="str">
        <f>IFERROR(VLOOKUP(T13,'ATP - RSAs'!$E:$E,1,FALSE),"#N/A")</f>
        <v>2 or 3</v>
      </c>
      <c r="V13" s="219" t="str">
        <f t="shared" si="3"/>
        <v xml:space="preserve"> Unbranded Condition Resources For Patients 2 or 3</v>
      </c>
      <c r="W13" s="219" t="e">
        <f>VLOOKUP(V13,'ATP - RSAs'!$N:$N,1,FALSE)</f>
        <v>#N/A</v>
      </c>
      <c r="X13" s="218" t="s">
        <v>53</v>
      </c>
      <c r="Y13" s="218" t="str">
        <f>IFERROR(VLOOKUP(X13,'ATP - RSAs'!$C:$C,1,FALSE),"#N/A")</f>
        <v>Financial Assistance Options</v>
      </c>
      <c r="Z13" s="219" t="s">
        <v>51</v>
      </c>
      <c r="AA13" s="219" t="str">
        <f>IFERROR(VLOOKUP(Z13,'ATP - RSAs'!$E:$E,1,FALSE),"#N/A")</f>
        <v>2 or 3</v>
      </c>
      <c r="AB13" s="219" t="str">
        <f t="shared" si="4"/>
        <v xml:space="preserve"> Unbranded Condition Financial Assistance Options 2 or 3</v>
      </c>
      <c r="AC13" s="219" t="e">
        <f>VLOOKUP(AB13,'ATP - RSAs'!$N:$N,1,FALSE)</f>
        <v>#N/A</v>
      </c>
      <c r="AD13" s="218" t="s">
        <v>54</v>
      </c>
      <c r="AE13" s="218" t="str">
        <f>IFERROR(VLOOKUP(AD13,'ATP - RSAs'!$C:$C,1,FALSE),"#N/A")</f>
        <v>Important Safety Information</v>
      </c>
      <c r="AF13" s="219" t="s">
        <v>51</v>
      </c>
      <c r="AG13" s="219" t="str">
        <f>IFERROR(VLOOKUP(AF13,'ATP - RSAs'!$E:$E,1,FALSE),"#N/A")</f>
        <v>2 or 3</v>
      </c>
      <c r="AH13" s="219" t="str">
        <f t="shared" si="5"/>
        <v xml:space="preserve"> Unbranded Condition Important Safety Information 2 or 3</v>
      </c>
      <c r="AI13" s="219" t="e">
        <f>VLOOKUP(AH13,'ATP - RSAs'!$N:$N,1,FALSE)</f>
        <v>#N/A</v>
      </c>
      <c r="AJ13" s="218" t="s">
        <v>55</v>
      </c>
      <c r="AK13" s="218" t="str">
        <f>IFERROR(VLOOKUP(AJ13,'ATP - RSAs'!$C:$C,1,FALSE),"#N/A")</f>
        <v>Questions To Ask Your Doctor</v>
      </c>
      <c r="AL13" s="219" t="s">
        <v>51</v>
      </c>
      <c r="AM13" s="219" t="str">
        <f>IFERROR(VLOOKUP(AL13,'ATP - RSAs'!$E:$E,1,FALSE),"#N/A")</f>
        <v>2 or 3</v>
      </c>
      <c r="AN13" s="219" t="str">
        <f t="shared" si="6"/>
        <v xml:space="preserve"> Unbranded Condition Questions To Ask Your Doctor 2 or 3</v>
      </c>
      <c r="AO13" s="219" t="e">
        <f>VLOOKUP(AN13,'ATP - RSAs'!$N:$N,1,FALSE)</f>
        <v>#N/A</v>
      </c>
      <c r="AP13" s="218" t="s">
        <v>56</v>
      </c>
      <c r="AQ13" s="218" t="str">
        <f>IFERROR(VLOOKUP(AP13,'ATP - RSAs'!$C:$C,1,FALSE),"#N/A")</f>
        <v>DLBCL Infusion Therapy</v>
      </c>
      <c r="AR13" s="219" t="s">
        <v>51</v>
      </c>
      <c r="AS13" s="219" t="str">
        <f>IFERROR(VLOOKUP(AR13,'ATP - RSAs'!$E:$E,1,FALSE),"#N/A")</f>
        <v>2 or 3</v>
      </c>
      <c r="AT13" s="219" t="str">
        <f t="shared" si="7"/>
        <v xml:space="preserve"> Unbranded Condition DLBCL Infusion Therapy 2 or 3</v>
      </c>
      <c r="AU13" s="219" t="e">
        <f>VLOOKUP(AT13,'ATP - RSAs'!$N:$N,1,FALSE)</f>
        <v>#N/A</v>
      </c>
      <c r="AV13" s="218" t="s">
        <v>57</v>
      </c>
      <c r="AW13" s="218" t="str">
        <f>IFERROR(VLOOKUP(AV13,'ATP - RSAs'!$C:$C,1,FALSE),"#N/A")</f>
        <v>Clinical Trial Results</v>
      </c>
      <c r="AX13" s="219" t="s">
        <v>51</v>
      </c>
      <c r="AY13" s="219" t="str">
        <f>IFERROR(VLOOKUP(AX13,'ATP - RSAs'!$E:$E,1,FALSE),"#N/A")</f>
        <v>2 or 3</v>
      </c>
      <c r="AZ13" s="219" t="str">
        <f t="shared" si="8"/>
        <v xml:space="preserve"> Unbranded Condition Clinical Trial Results 2 or 3</v>
      </c>
      <c r="BA13" s="219" t="e">
        <f>VLOOKUP(AZ13,'ATP - RSAs'!$N:$N,1,FALSE)</f>
        <v>#N/A</v>
      </c>
      <c r="BB13" s="218" t="s">
        <v>58</v>
      </c>
      <c r="BC13" s="218" t="str">
        <f>IFERROR(VLOOKUP(BB13,'ATP - RSAs'!$C:$C,1,FALSE),"#N/A")</f>
        <v>Information For Patients</v>
      </c>
      <c r="BD13" s="219" t="s">
        <v>51</v>
      </c>
      <c r="BE13" s="219" t="str">
        <f>IFERROR(VLOOKUP(BD13,'ATP - RSAs'!$E:$E,1,FALSE),"#N/A")</f>
        <v>2 or 3</v>
      </c>
      <c r="BF13" s="219" t="str">
        <f t="shared" si="9"/>
        <v xml:space="preserve"> Unbranded Condition Information For Patients 2 or 3</v>
      </c>
      <c r="BG13" s="219" t="e">
        <f>VLOOKUP(BF13,'ATP - RSAs'!$N:$N,1,FALSE)</f>
        <v>#N/A</v>
      </c>
      <c r="BH13" s="218" t="s">
        <v>59</v>
      </c>
      <c r="BI13" s="218" t="str">
        <f>IFERROR(VLOOKUP(BH13,'ATP - RSAs'!$C:$C,1,FALSE),"#N/A")</f>
        <v>Efficacy &amp; Safety Information</v>
      </c>
      <c r="BJ13" s="219" t="s">
        <v>51</v>
      </c>
      <c r="BK13" s="219" t="str">
        <f>IFERROR(VLOOKUP(BJ13,'ATP - RSAs'!$E:$E,1,FALSE),"#N/A")</f>
        <v>2 or 3</v>
      </c>
      <c r="BL13" s="219" t="str">
        <f t="shared" si="10"/>
        <v xml:space="preserve"> Unbranded Condition Efficacy &amp; Safety Information 2 or 3</v>
      </c>
      <c r="BM13" s="219" t="e">
        <f>VLOOKUP(BL13,'ATP - RSAs'!$N:$N,1,FALSE)</f>
        <v>#N/A</v>
      </c>
      <c r="BN13" s="218" t="s">
        <v>60</v>
      </c>
      <c r="BO13" s="218" t="str">
        <f>IFERROR(VLOOKUP(BN13,'ATP - RSAs'!$C:$C,1,FALSE),"#N/A")</f>
        <v>About DLBCL</v>
      </c>
      <c r="BP13" s="219" t="s">
        <v>51</v>
      </c>
      <c r="BQ13" s="219" t="str">
        <f>IFERROR(VLOOKUP(BP13,'ATP - RSAs'!$E:$E,1,FALSE),"#N/A")</f>
        <v>2 or 3</v>
      </c>
      <c r="BR13" s="219" t="str">
        <f t="shared" si="11"/>
        <v xml:space="preserve"> Unbranded Condition About DLBCL 2 or 3</v>
      </c>
      <c r="BS13" s="219" t="e">
        <f>VLOOKUP(BR13,'ATP - RSAs'!$N:$N,1,FALSE)</f>
        <v>#N/A</v>
      </c>
      <c r="BT13" s="218" t="s">
        <v>61</v>
      </c>
      <c r="BU13" s="218" t="str">
        <f>IFERROR(VLOOKUP(BT13,'ATP - RSAs'!$C:$C,1,FALSE),"#N/A")</f>
        <v>3L+ DLBCL Treatment Support</v>
      </c>
      <c r="BV13" s="219" t="s">
        <v>51</v>
      </c>
      <c r="BW13" s="219" t="str">
        <f>IFERROR(VLOOKUP(BV13,'ATP - RSAs'!$E:$E,1,FALSE),"#N/A")</f>
        <v>2 or 3</v>
      </c>
      <c r="BX13" s="219" t="str">
        <f t="shared" si="12"/>
        <v xml:space="preserve"> Unbranded Condition 3L+ DLBCL Treatment Support 2 or 3</v>
      </c>
      <c r="BY13" s="219" t="e">
        <f>VLOOKUP(BX13,'ATP - RSAs'!$N:$N,1,FALSE)</f>
        <v>#N/A</v>
      </c>
      <c r="BZ13" s="218" t="s">
        <v>62</v>
      </c>
      <c r="CA13" s="218" t="str">
        <f>IFERROR(VLOOKUP(BZ13,'ATP - RSAs'!$C:$C,1,FALSE),"#N/A")</f>
        <v>3L+ DLBCL Patient Resources</v>
      </c>
      <c r="CB13" s="219" t="s">
        <v>51</v>
      </c>
      <c r="CC13" s="219" t="str">
        <f>IFERROR(VLOOKUP(CB13,'ATP - RSAs'!$E:$E,1,FALSE),"#N/A")</f>
        <v>2 or 3</v>
      </c>
      <c r="CD13" s="219" t="str">
        <f t="shared" si="13"/>
        <v xml:space="preserve"> Unbranded Condition 3L+ DLBCL Patient Resources 2 or 3</v>
      </c>
      <c r="CE13" s="219" t="e">
        <f>VLOOKUP(CD13,'ATP - RSAs'!$N:$N,1,FALSE)</f>
        <v>#N/A</v>
      </c>
      <c r="CF13" s="218" t="s">
        <v>63</v>
      </c>
      <c r="CG13" s="218" t="str">
        <f>IFERROR(VLOOKUP(CF13,'ATP - RSAs'!$F:$F,1,FALSE),"#N/A")</f>
        <v>Discover A Fixed-Duration Treatment Option For 3L+ DLBCL And View Important Safety Info.</v>
      </c>
      <c r="CH13" s="219" t="s">
        <v>64</v>
      </c>
      <c r="CI13" s="219" t="str">
        <f>IFERROR(VLOOKUP(CH13,'ATP - RSAs'!$H:$H,1,FALSE),"#N/A")</f>
        <v>Any</v>
      </c>
      <c r="CJ13" s="219" t="str">
        <f t="shared" si="14"/>
        <v>Discover A Fixed-Duration Treatment Option For 3L+ DLBCL And View Important Safety Info. Any</v>
      </c>
      <c r="CK13" s="219" t="str">
        <f>VLOOKUP(CJ13,'ATP - RSAs'!$O:$O,1,FALSE)</f>
        <v>Discover A Fixed-Duration Treatment Option For 3L+ DLBCL And View Important Safety Info. Any</v>
      </c>
      <c r="CL13" s="218" t="s">
        <v>65</v>
      </c>
      <c r="CM13" s="218" t="str">
        <f>IFERROR(VLOOKUP(CL13,'ATP - RSAs'!$F:$F,1,FALSE),"#N/A")</f>
        <v>Download The Patient Brochure To Learn More About A DLBCL Fixed-Duration Treatment.</v>
      </c>
      <c r="CN13" s="219" t="s">
        <v>64</v>
      </c>
      <c r="CO13" s="219" t="str">
        <f>IFERROR(VLOOKUP(CN13,'ATP - RSAs'!$H:$H,1,FALSE),"#N/A")</f>
        <v>Any</v>
      </c>
      <c r="CP13" s="219" t="str">
        <f t="shared" si="15"/>
        <v>Download The Patient Brochure To Learn More About A DLBCL Fixed-Duration Treatment. Any</v>
      </c>
      <c r="CQ13" s="219" t="str">
        <f>VLOOKUP(CP13,'ATP - RSAs'!$O:$O,1,FALSE)</f>
        <v>Download The Patient Brochure To Learn More About A DLBCL Fixed-Duration Treatment. Any</v>
      </c>
      <c r="CR13" s="218" t="s">
        <v>66</v>
      </c>
      <c r="CS13" s="218" t="str">
        <f>IFERROR(VLOOKUP(CR13,'ATP - RSAs'!$F:$F,1,FALSE),"#N/A")</f>
        <v>Explore An Infusion Option For Diffuse Large B Cell Lymphoma &amp; View Clinical Results.</v>
      </c>
      <c r="CT13" s="219" t="s">
        <v>64</v>
      </c>
      <c r="CU13" s="219" t="str">
        <f>IFERROR(VLOOKUP(CT13,'ATP - RSAs'!$H:$H,1,FALSE),"#N/A")</f>
        <v>Any</v>
      </c>
      <c r="CV13" s="219" t="str">
        <f t="shared" si="16"/>
        <v>Explore An Infusion Option For Diffuse Large B Cell Lymphoma &amp; View Clinical Results. Any</v>
      </c>
      <c r="CW13" s="219" t="str">
        <f>VLOOKUP(CV13,'ATP - RSAs'!$O:$O,1,FALSE)</f>
        <v>Explore An Infusion Option For Diffuse Large B Cell Lymphoma &amp; View Clinical Results. Any</v>
      </c>
      <c r="CX13" s="218" t="s">
        <v>67</v>
      </c>
      <c r="CY13" s="218" t="str">
        <f>IFERROR(VLOOKUP(CX13,'ATP - RSAs'!$F:$F,1,FALSE),"#N/A")</f>
        <v>Learn More About Starting Treatment For 3L+ DLBCL After Two Or More Prior Therapies</v>
      </c>
      <c r="CZ13" s="219" t="s">
        <v>64</v>
      </c>
      <c r="DA13" s="219" t="str">
        <f>IFERROR(VLOOKUP(CZ13,'ATP - RSAs'!$H:$H,1,FALSE),"#N/A")</f>
        <v>Any</v>
      </c>
      <c r="DB13" s="219" t="str">
        <f t="shared" si="17"/>
        <v>Learn More About Starting Treatment For 3L+ DLBCL After Two Or More Prior Therapies Any</v>
      </c>
      <c r="DC13" s="219" t="str">
        <f>VLOOKUP(DB13,'ATP - RSAs'!$O:$O,1,FALSE)</f>
        <v>Learn More About Starting Treatment For 3L+ DLBCL After Two Or More Prior Therapies Any</v>
      </c>
      <c r="DD13" s="218" t="s">
        <v>309</v>
      </c>
      <c r="DE13" s="218" t="s">
        <v>69</v>
      </c>
    </row>
    <row r="14" spans="1:109" ht="14.4" x14ac:dyDescent="0.3">
      <c r="A14" s="4" t="s">
        <v>46</v>
      </c>
      <c r="B14" s="4" t="str">
        <f>IFERROR(VLOOKUP(A14,'ATP - RSAs'!$A:$A,1,FALSE),"#N/A")</f>
        <v>Unbranded Condition</v>
      </c>
      <c r="C14" s="4" t="s">
        <v>71</v>
      </c>
      <c r="D14" s="4" t="str">
        <f>IFERROR(VLOOKUP(C14,'ATP - RSAs'!$B:$B,1,FALSE),"#N/A")</f>
        <v>Unbranded DLBCL Causes</v>
      </c>
      <c r="E14" s="4" t="str">
        <f t="shared" si="0"/>
        <v>Unbranded Condition Unbranded DLBCL Causes</v>
      </c>
      <c r="F14" s="218" t="s">
        <v>49</v>
      </c>
      <c r="G14" s="218" t="str">
        <f>IFERROR(VLOOKUP(F14,'ATP - RSAs'!$C:$C,1,FALSE),"#N/A")</f>
        <v>Treatment Option For 3L+ DLBCL</v>
      </c>
      <c r="H14" s="219">
        <v>1</v>
      </c>
      <c r="I14" s="219">
        <f>IFERROR(VLOOKUP(H14,'ATP - RSAs'!$E:$E,1,FALSE),"#N/A")</f>
        <v>1</v>
      </c>
      <c r="J14" s="219" t="str">
        <f t="shared" si="1"/>
        <v>Unbranded Condition Unbranded DLBCL Causes Treatment Option For 3L+ DLBCL 1</v>
      </c>
      <c r="K14" s="219" t="str">
        <f>VLOOKUP(J14,'ATP - RSAs'!$N:$N,1,FALSE)</f>
        <v>Unbranded Condition Unbranded DLBCL Causes Treatment Option For 3L+ DLBCL 1</v>
      </c>
      <c r="L14" s="218" t="s">
        <v>50</v>
      </c>
      <c r="M14" s="218" t="str">
        <f>IFERROR(VLOOKUP(L14,'ATP - RSAs'!$C:$C,1,FALSE),"#N/A")</f>
        <v>Download The Patient Brochure</v>
      </c>
      <c r="N14" s="219" t="s">
        <v>51</v>
      </c>
      <c r="O14" s="219" t="str">
        <f>IFERROR(VLOOKUP(N14,'ATP - RSAs'!$E:$E,1,FALSE),"#N/A")</f>
        <v>2 or 3</v>
      </c>
      <c r="P14" s="219" t="str">
        <f t="shared" si="2"/>
        <v>Unbranded Condition Unbranded DLBCL Causes Download The Patient Brochure 2 or 3</v>
      </c>
      <c r="Q14" s="219" t="str">
        <f>VLOOKUP(P14,'ATP - RSAs'!$N:$N,1,FALSE)</f>
        <v>Unbranded Condition Unbranded DLBCL Causes Download The Patient Brochure 2 or 3</v>
      </c>
      <c r="R14" s="218" t="s">
        <v>52</v>
      </c>
      <c r="S14" s="218" t="str">
        <f>IFERROR(VLOOKUP(R14,'ATP - RSAs'!$C:$C,1,FALSE),"#N/A")</f>
        <v>Resources For Patients</v>
      </c>
      <c r="T14" s="219">
        <v>0</v>
      </c>
      <c r="U14" s="226" t="str">
        <f>IFERROR(VLOOKUP(T14,'ATP - RSAs'!$E:$E,1,FALSE),"#N/A")</f>
        <v>#N/A</v>
      </c>
      <c r="V14" s="226" t="str">
        <f t="shared" si="3"/>
        <v>Unbranded Condition Unbranded DLBCL Causes Resources For Patients 0</v>
      </c>
      <c r="W14" s="226" t="e">
        <f>VLOOKUP(V14,'ATP - RSAs'!$N:$N,1,FALSE)</f>
        <v>#N/A</v>
      </c>
      <c r="X14" s="218" t="s">
        <v>53</v>
      </c>
      <c r="Y14" s="218" t="str">
        <f>IFERROR(VLOOKUP(X14,'ATP - RSAs'!$C:$C,1,FALSE),"#N/A")</f>
        <v>Financial Assistance Options</v>
      </c>
      <c r="Z14" s="219" t="s">
        <v>51</v>
      </c>
      <c r="AA14" s="219" t="str">
        <f>IFERROR(VLOOKUP(Z14,'ATP - RSAs'!$E:$E,1,FALSE),"#N/A")</f>
        <v>2 or 3</v>
      </c>
      <c r="AB14" s="219" t="str">
        <f t="shared" si="4"/>
        <v>Unbranded Condition Unbranded DLBCL Causes Financial Assistance Options 2 or 3</v>
      </c>
      <c r="AC14" s="219" t="str">
        <f>VLOOKUP(AB14,'ATP - RSAs'!$N:$N,1,FALSE)</f>
        <v>Unbranded Condition Unbranded DLBCL Causes Financial Assistance Options 2 or 3</v>
      </c>
      <c r="AD14" s="218" t="s">
        <v>54</v>
      </c>
      <c r="AE14" s="218" t="str">
        <f>IFERROR(VLOOKUP(AD14,'ATP - RSAs'!$C:$C,1,FALSE),"#N/A")</f>
        <v>Important Safety Information</v>
      </c>
      <c r="AF14" s="219" t="s">
        <v>51</v>
      </c>
      <c r="AG14" s="219" t="str">
        <f>IFERROR(VLOOKUP(AF14,'ATP - RSAs'!$E:$E,1,FALSE),"#N/A")</f>
        <v>2 or 3</v>
      </c>
      <c r="AH14" s="219" t="str">
        <f t="shared" si="5"/>
        <v>Unbranded Condition Unbranded DLBCL Causes Important Safety Information 2 or 3</v>
      </c>
      <c r="AI14" s="219" t="str">
        <f>VLOOKUP(AH14,'ATP - RSAs'!$N:$N,1,FALSE)</f>
        <v>Unbranded Condition Unbranded DLBCL Causes Important Safety Information 2 or 3</v>
      </c>
      <c r="AJ14" s="218" t="s">
        <v>55</v>
      </c>
      <c r="AK14" s="218" t="str">
        <f>IFERROR(VLOOKUP(AJ14,'ATP - RSAs'!$C:$C,1,FALSE),"#N/A")</f>
        <v>Questions To Ask Your Doctor</v>
      </c>
      <c r="AL14" s="219" t="s">
        <v>51</v>
      </c>
      <c r="AM14" s="219" t="str">
        <f>IFERROR(VLOOKUP(AL14,'ATP - RSAs'!$E:$E,1,FALSE),"#N/A")</f>
        <v>2 or 3</v>
      </c>
      <c r="AN14" s="219" t="str">
        <f t="shared" si="6"/>
        <v>Unbranded Condition Unbranded DLBCL Causes Questions To Ask Your Doctor 2 or 3</v>
      </c>
      <c r="AO14" s="219" t="str">
        <f>VLOOKUP(AN14,'ATP - RSAs'!$N:$N,1,FALSE)</f>
        <v>Unbranded Condition Unbranded DLBCL Causes Questions To Ask Your Doctor 2 or 3</v>
      </c>
      <c r="AP14" s="218" t="s">
        <v>56</v>
      </c>
      <c r="AQ14" s="218" t="str">
        <f>IFERROR(VLOOKUP(AP14,'ATP - RSAs'!$C:$C,1,FALSE),"#N/A")</f>
        <v>DLBCL Infusion Therapy</v>
      </c>
      <c r="AR14" s="219" t="s">
        <v>51</v>
      </c>
      <c r="AS14" s="219" t="str">
        <f>IFERROR(VLOOKUP(AR14,'ATP - RSAs'!$E:$E,1,FALSE),"#N/A")</f>
        <v>2 or 3</v>
      </c>
      <c r="AT14" s="219" t="str">
        <f t="shared" si="7"/>
        <v>Unbranded Condition Unbranded DLBCL Causes DLBCL Infusion Therapy 2 or 3</v>
      </c>
      <c r="AU14" s="219" t="str">
        <f>VLOOKUP(AT14,'ATP - RSAs'!$N:$N,1,FALSE)</f>
        <v>Unbranded Condition Unbranded DLBCL Causes DLBCL Infusion Therapy 2 or 3</v>
      </c>
      <c r="AV14" s="218" t="s">
        <v>57</v>
      </c>
      <c r="AW14" s="218" t="str">
        <f>IFERROR(VLOOKUP(AV14,'ATP - RSAs'!$C:$C,1,FALSE),"#N/A")</f>
        <v>Clinical Trial Results</v>
      </c>
      <c r="AX14" s="219" t="s">
        <v>51</v>
      </c>
      <c r="AY14" s="219" t="str">
        <f>IFERROR(VLOOKUP(AX14,'ATP - RSAs'!$E:$E,1,FALSE),"#N/A")</f>
        <v>2 or 3</v>
      </c>
      <c r="AZ14" s="219" t="str">
        <f t="shared" si="8"/>
        <v>Unbranded Condition Unbranded DLBCL Causes Clinical Trial Results 2 or 3</v>
      </c>
      <c r="BA14" s="219" t="str">
        <f>VLOOKUP(AZ14,'ATP - RSAs'!$N:$N,1,FALSE)</f>
        <v>Unbranded Condition Unbranded DLBCL Causes Clinical Trial Results 2 or 3</v>
      </c>
      <c r="BB14" s="218" t="s">
        <v>58</v>
      </c>
      <c r="BC14" s="218" t="str">
        <f>IFERROR(VLOOKUP(BB14,'ATP - RSAs'!$C:$C,1,FALSE),"#N/A")</f>
        <v>Information For Patients</v>
      </c>
      <c r="BD14" s="219" t="s">
        <v>51</v>
      </c>
      <c r="BE14" s="219" t="str">
        <f>IFERROR(VLOOKUP(BD14,'ATP - RSAs'!$E:$E,1,FALSE),"#N/A")</f>
        <v>2 or 3</v>
      </c>
      <c r="BF14" s="219" t="str">
        <f t="shared" si="9"/>
        <v>Unbranded Condition Unbranded DLBCL Causes Information For Patients 2 or 3</v>
      </c>
      <c r="BG14" s="219" t="str">
        <f>VLOOKUP(BF14,'ATP - RSAs'!$N:$N,1,FALSE)</f>
        <v>Unbranded Condition Unbranded DLBCL Causes Information For Patients 2 or 3</v>
      </c>
      <c r="BH14" s="218" t="s">
        <v>59</v>
      </c>
      <c r="BI14" s="218" t="str">
        <f>IFERROR(VLOOKUP(BH14,'ATP - RSAs'!$C:$C,1,FALSE),"#N/A")</f>
        <v>Efficacy &amp; Safety Information</v>
      </c>
      <c r="BJ14" s="219" t="s">
        <v>51</v>
      </c>
      <c r="BK14" s="219" t="str">
        <f>IFERROR(VLOOKUP(BJ14,'ATP - RSAs'!$E:$E,1,FALSE),"#N/A")</f>
        <v>2 or 3</v>
      </c>
      <c r="BL14" s="219" t="str">
        <f t="shared" si="10"/>
        <v>Unbranded Condition Unbranded DLBCL Causes Efficacy &amp; Safety Information 2 or 3</v>
      </c>
      <c r="BM14" s="219" t="str">
        <f>VLOOKUP(BL14,'ATP - RSAs'!$N:$N,1,FALSE)</f>
        <v>Unbranded Condition Unbranded DLBCL Causes Efficacy &amp; Safety Information 2 or 3</v>
      </c>
      <c r="BN14" s="218" t="s">
        <v>72</v>
      </c>
      <c r="BO14" s="218" t="str">
        <f>IFERROR(VLOOKUP(BN14,'ATP - RSAs'!$C:$C,1,FALSE),"#N/A")</f>
        <v>Diffuse Large B-Cell Lymphoma</v>
      </c>
      <c r="BP14" s="219" t="s">
        <v>51</v>
      </c>
      <c r="BQ14" s="219" t="str">
        <f>IFERROR(VLOOKUP(BP14,'ATP - RSAs'!$E:$E,1,FALSE),"#N/A")</f>
        <v>2 or 3</v>
      </c>
      <c r="BR14" s="219" t="str">
        <f t="shared" si="11"/>
        <v>Unbranded Condition Unbranded DLBCL Causes Diffuse Large B-Cell Lymphoma 2 or 3</v>
      </c>
      <c r="BS14" s="219" t="str">
        <f>VLOOKUP(BR14,'ATP - RSAs'!$N:$N,1,FALSE)</f>
        <v>Unbranded Condition Unbranded DLBCL Causes Diffuse Large B-Cell Lymphoma 2 or 3</v>
      </c>
      <c r="BT14" s="218" t="s">
        <v>73</v>
      </c>
      <c r="BU14" s="218" t="str">
        <f>IFERROR(VLOOKUP(BT14,'ATP - RSAs'!$C:$C,1,FALSE),"#N/A")</f>
        <v>DLBCL Clinical Study Data</v>
      </c>
      <c r="BV14" s="219" t="s">
        <v>51</v>
      </c>
      <c r="BW14" s="219" t="str">
        <f>IFERROR(VLOOKUP(BV14,'ATP - RSAs'!$E:$E,1,FALSE),"#N/A")</f>
        <v>2 or 3</v>
      </c>
      <c r="BX14" s="219" t="str">
        <f t="shared" si="12"/>
        <v>Unbranded Condition Unbranded DLBCL Causes DLBCL Clinical Study Data 2 or 3</v>
      </c>
      <c r="BY14" s="219" t="str">
        <f>VLOOKUP(BX14,'ATP - RSAs'!$N:$N,1,FALSE)</f>
        <v>Unbranded Condition Unbranded DLBCL Causes DLBCL Clinical Study Data 2 or 3</v>
      </c>
      <c r="BZ14" s="218" t="s">
        <v>60</v>
      </c>
      <c r="CA14" s="218" t="str">
        <f>IFERROR(VLOOKUP(BZ14,'ATP - RSAs'!$C:$C,1,FALSE),"#N/A")</f>
        <v>About DLBCL</v>
      </c>
      <c r="CB14" s="219" t="s">
        <v>51</v>
      </c>
      <c r="CC14" s="219" t="str">
        <f>IFERROR(VLOOKUP(CB14,'ATP - RSAs'!$E:$E,1,FALSE),"#N/A")</f>
        <v>2 or 3</v>
      </c>
      <c r="CD14" s="219" t="str">
        <f t="shared" si="13"/>
        <v>Unbranded Condition Unbranded DLBCL Causes About DLBCL 2 or 3</v>
      </c>
      <c r="CE14" s="219" t="str">
        <f>VLOOKUP(CD14,'ATP - RSAs'!$N:$N,1,FALSE)</f>
        <v>Unbranded Condition Unbranded DLBCL Causes About DLBCL 2 or 3</v>
      </c>
      <c r="CF14" s="218" t="s">
        <v>63</v>
      </c>
      <c r="CG14" s="218" t="str">
        <f>IFERROR(VLOOKUP(CF14,'ATP - RSAs'!$F:$F,1,FALSE),"#N/A")</f>
        <v>Discover A Fixed-Duration Treatment Option For 3L+ DLBCL And View Important Safety Info.</v>
      </c>
      <c r="CH14" s="219" t="s">
        <v>64</v>
      </c>
      <c r="CI14" s="219" t="str">
        <f>IFERROR(VLOOKUP(CH14,'ATP - RSAs'!$H:$H,1,FALSE),"#N/A")</f>
        <v>Any</v>
      </c>
      <c r="CJ14" s="219" t="str">
        <f t="shared" si="14"/>
        <v>Discover A Fixed-Duration Treatment Option For 3L+ DLBCL And View Important Safety Info. Any</v>
      </c>
      <c r="CK14" s="219" t="str">
        <f>VLOOKUP(CJ14,'ATP - RSAs'!$O:$O,1,FALSE)</f>
        <v>Discover A Fixed-Duration Treatment Option For 3L+ DLBCL And View Important Safety Info. Any</v>
      </c>
      <c r="CL14" s="218" t="s">
        <v>65</v>
      </c>
      <c r="CM14" s="218" t="str">
        <f>IFERROR(VLOOKUP(CL14,'ATP - RSAs'!$F:$F,1,FALSE),"#N/A")</f>
        <v>Download The Patient Brochure To Learn More About A DLBCL Fixed-Duration Treatment.</v>
      </c>
      <c r="CN14" s="219" t="s">
        <v>64</v>
      </c>
      <c r="CO14" s="219" t="str">
        <f>IFERROR(VLOOKUP(CN14,'ATP - RSAs'!$H:$H,1,FALSE),"#N/A")</f>
        <v>Any</v>
      </c>
      <c r="CP14" s="219" t="str">
        <f t="shared" si="15"/>
        <v>Download The Patient Brochure To Learn More About A DLBCL Fixed-Duration Treatment. Any</v>
      </c>
      <c r="CQ14" s="219" t="str">
        <f>VLOOKUP(CP14,'ATP - RSAs'!$O:$O,1,FALSE)</f>
        <v>Download The Patient Brochure To Learn More About A DLBCL Fixed-Duration Treatment. Any</v>
      </c>
      <c r="CR14" s="218" t="s">
        <v>66</v>
      </c>
      <c r="CS14" s="218" t="str">
        <f>IFERROR(VLOOKUP(CR14,'ATP - RSAs'!$F:$F,1,FALSE),"#N/A")</f>
        <v>Explore An Infusion Option For Diffuse Large B Cell Lymphoma &amp; View Clinical Results.</v>
      </c>
      <c r="CT14" s="219" t="s">
        <v>64</v>
      </c>
      <c r="CU14" s="219" t="str">
        <f>IFERROR(VLOOKUP(CT14,'ATP - RSAs'!$H:$H,1,FALSE),"#N/A")</f>
        <v>Any</v>
      </c>
      <c r="CV14" s="219" t="str">
        <f t="shared" si="16"/>
        <v>Explore An Infusion Option For Diffuse Large B Cell Lymphoma &amp; View Clinical Results. Any</v>
      </c>
      <c r="CW14" s="219" t="str">
        <f>VLOOKUP(CV14,'ATP - RSAs'!$O:$O,1,FALSE)</f>
        <v>Explore An Infusion Option For Diffuse Large B Cell Lymphoma &amp; View Clinical Results. Any</v>
      </c>
      <c r="CX14" s="218" t="s">
        <v>74</v>
      </c>
      <c r="CY14" s="218" t="str">
        <f>IFERROR(VLOOKUP(CX14,'ATP - RSAs'!$F:$F,1,FALSE),"#N/A")</f>
        <v>Learn More About Starting Treatment For 3L+ DLBCL After Two Or More Prior Therapies.</v>
      </c>
      <c r="CZ14" s="219" t="s">
        <v>64</v>
      </c>
      <c r="DA14" s="219" t="str">
        <f>IFERROR(VLOOKUP(CZ14,'ATP - RSAs'!$H:$H,1,FALSE),"#N/A")</f>
        <v>Any</v>
      </c>
      <c r="DB14" s="219" t="str">
        <f t="shared" si="17"/>
        <v>Learn More About Starting Treatment For 3L+ DLBCL After Two Or More Prior Therapies. Any</v>
      </c>
      <c r="DC14" s="219" t="str">
        <f>VLOOKUP(DB14,'ATP - RSAs'!$O:$O,1,FALSE)</f>
        <v>Learn More About Starting Treatment For 3L+ DLBCL After Two Or More Prior Therapies. Any</v>
      </c>
      <c r="DD14" s="218" t="s">
        <v>309</v>
      </c>
      <c r="DE14" s="218" t="s">
        <v>69</v>
      </c>
    </row>
    <row r="15" spans="1:109" ht="14.4" x14ac:dyDescent="0.3">
      <c r="A15" s="4" t="s">
        <v>46</v>
      </c>
      <c r="B15" s="4" t="str">
        <f>IFERROR(VLOOKUP(A15,'ATP - RSAs'!$A:$A,1,FALSE),"#N/A")</f>
        <v>Unbranded Condition</v>
      </c>
      <c r="C15" s="4" t="s">
        <v>76</v>
      </c>
      <c r="D15" s="4" t="str">
        <f>IFERROR(VLOOKUP(C15,'ATP - RSAs'!$B:$B,1,FALSE),"#N/A")</f>
        <v>Unbranded DLBCL Diagnosis</v>
      </c>
      <c r="E15" s="4" t="str">
        <f t="shared" si="0"/>
        <v>Unbranded Condition Unbranded DLBCL Diagnosis</v>
      </c>
      <c r="F15" s="218" t="s">
        <v>49</v>
      </c>
      <c r="G15" s="218" t="str">
        <f>IFERROR(VLOOKUP(F15,'ATP - RSAs'!$C:$C,1,FALSE),"#N/A")</f>
        <v>Treatment Option For 3L+ DLBCL</v>
      </c>
      <c r="H15" s="219">
        <v>1</v>
      </c>
      <c r="I15" s="219">
        <f>IFERROR(VLOOKUP(H15,'ATP - RSAs'!$E:$E,1,FALSE),"#N/A")</f>
        <v>1</v>
      </c>
      <c r="J15" s="219" t="str">
        <f t="shared" si="1"/>
        <v>Unbranded Condition Unbranded DLBCL Diagnosis Treatment Option For 3L+ DLBCL 1</v>
      </c>
      <c r="K15" s="219" t="str">
        <f>VLOOKUP(J15,'ATP - RSAs'!$N:$N,1,FALSE)</f>
        <v>Unbranded Condition Unbranded DLBCL Diagnosis Treatment Option For 3L+ DLBCL 1</v>
      </c>
      <c r="L15" s="218" t="s">
        <v>50</v>
      </c>
      <c r="M15" s="218" t="str">
        <f>IFERROR(VLOOKUP(L15,'ATP - RSAs'!$C:$C,1,FALSE),"#N/A")</f>
        <v>Download The Patient Brochure</v>
      </c>
      <c r="N15" s="219" t="s">
        <v>51</v>
      </c>
      <c r="O15" s="219" t="str">
        <f>IFERROR(VLOOKUP(N15,'ATP - RSAs'!$E:$E,1,FALSE),"#N/A")</f>
        <v>2 or 3</v>
      </c>
      <c r="P15" s="219" t="str">
        <f t="shared" si="2"/>
        <v>Unbranded Condition Unbranded DLBCL Diagnosis Download The Patient Brochure 2 or 3</v>
      </c>
      <c r="Q15" s="219" t="str">
        <f>VLOOKUP(P15,'ATP - RSAs'!$N:$N,1,FALSE)</f>
        <v>Unbranded Condition Unbranded DLBCL Diagnosis Download The Patient Brochure 2 or 3</v>
      </c>
      <c r="R15" s="218" t="s">
        <v>52</v>
      </c>
      <c r="S15" s="218" t="str">
        <f>IFERROR(VLOOKUP(R15,'ATP - RSAs'!$C:$C,1,FALSE),"#N/A")</f>
        <v>Resources For Patients</v>
      </c>
      <c r="T15" s="219" t="s">
        <v>51</v>
      </c>
      <c r="U15" s="219" t="str">
        <f>IFERROR(VLOOKUP(T15,'ATP - RSAs'!$E:$E,1,FALSE),"#N/A")</f>
        <v>2 or 3</v>
      </c>
      <c r="V15" s="219" t="str">
        <f t="shared" si="3"/>
        <v>Unbranded Condition Unbranded DLBCL Diagnosis Resources For Patients 2 or 3</v>
      </c>
      <c r="W15" s="219" t="str">
        <f>VLOOKUP(V15,'ATP - RSAs'!$N:$N,1,FALSE)</f>
        <v>Unbranded Condition Unbranded DLBCL Diagnosis Resources For Patients 2 or 3</v>
      </c>
      <c r="X15" s="218" t="s">
        <v>53</v>
      </c>
      <c r="Y15" s="218" t="str">
        <f>IFERROR(VLOOKUP(X15,'ATP - RSAs'!$C:$C,1,FALSE),"#N/A")</f>
        <v>Financial Assistance Options</v>
      </c>
      <c r="Z15" s="219" t="s">
        <v>51</v>
      </c>
      <c r="AA15" s="219" t="str">
        <f>IFERROR(VLOOKUP(Z15,'ATP - RSAs'!$E:$E,1,FALSE),"#N/A")</f>
        <v>2 or 3</v>
      </c>
      <c r="AB15" s="219" t="str">
        <f t="shared" si="4"/>
        <v>Unbranded Condition Unbranded DLBCL Diagnosis Financial Assistance Options 2 or 3</v>
      </c>
      <c r="AC15" s="219" t="str">
        <f>VLOOKUP(AB15,'ATP - RSAs'!$N:$N,1,FALSE)</f>
        <v>Unbranded Condition Unbranded DLBCL Diagnosis Financial Assistance Options 2 or 3</v>
      </c>
      <c r="AD15" s="218" t="s">
        <v>54</v>
      </c>
      <c r="AE15" s="218" t="str">
        <f>IFERROR(VLOOKUP(AD15,'ATP - RSAs'!$C:$C,1,FALSE),"#N/A")</f>
        <v>Important Safety Information</v>
      </c>
      <c r="AF15" s="219" t="s">
        <v>51</v>
      </c>
      <c r="AG15" s="219" t="str">
        <f>IFERROR(VLOOKUP(AF15,'ATP - RSAs'!$E:$E,1,FALSE),"#N/A")</f>
        <v>2 or 3</v>
      </c>
      <c r="AH15" s="219" t="str">
        <f t="shared" si="5"/>
        <v>Unbranded Condition Unbranded DLBCL Diagnosis Important Safety Information 2 or 3</v>
      </c>
      <c r="AI15" s="219" t="str">
        <f>VLOOKUP(AH15,'ATP - RSAs'!$N:$N,1,FALSE)</f>
        <v>Unbranded Condition Unbranded DLBCL Diagnosis Important Safety Information 2 or 3</v>
      </c>
      <c r="AJ15" s="218" t="s">
        <v>55</v>
      </c>
      <c r="AK15" s="218" t="str">
        <f>IFERROR(VLOOKUP(AJ15,'ATP - RSAs'!$C:$C,1,FALSE),"#N/A")</f>
        <v>Questions To Ask Your Doctor</v>
      </c>
      <c r="AL15" s="219" t="s">
        <v>51</v>
      </c>
      <c r="AM15" s="219" t="str">
        <f>IFERROR(VLOOKUP(AL15,'ATP - RSAs'!$E:$E,1,FALSE),"#N/A")</f>
        <v>2 or 3</v>
      </c>
      <c r="AN15" s="219" t="str">
        <f t="shared" si="6"/>
        <v>Unbranded Condition Unbranded DLBCL Diagnosis Questions To Ask Your Doctor 2 or 3</v>
      </c>
      <c r="AO15" s="219" t="str">
        <f>VLOOKUP(AN15,'ATP - RSAs'!$N:$N,1,FALSE)</f>
        <v>Unbranded Condition Unbranded DLBCL Diagnosis Questions To Ask Your Doctor 2 or 3</v>
      </c>
      <c r="AP15" s="218" t="s">
        <v>56</v>
      </c>
      <c r="AQ15" s="218" t="str">
        <f>IFERROR(VLOOKUP(AP15,'ATP - RSAs'!$C:$C,1,FALSE),"#N/A")</f>
        <v>DLBCL Infusion Therapy</v>
      </c>
      <c r="AR15" s="219" t="s">
        <v>51</v>
      </c>
      <c r="AS15" s="219" t="str">
        <f>IFERROR(VLOOKUP(AR15,'ATP - RSAs'!$E:$E,1,FALSE),"#N/A")</f>
        <v>2 or 3</v>
      </c>
      <c r="AT15" s="219" t="str">
        <f t="shared" si="7"/>
        <v>Unbranded Condition Unbranded DLBCL Diagnosis DLBCL Infusion Therapy 2 or 3</v>
      </c>
      <c r="AU15" s="219" t="str">
        <f>VLOOKUP(AT15,'ATP - RSAs'!$N:$N,1,FALSE)</f>
        <v>Unbranded Condition Unbranded DLBCL Diagnosis DLBCL Infusion Therapy 2 or 3</v>
      </c>
      <c r="AV15" s="218" t="s">
        <v>57</v>
      </c>
      <c r="AW15" s="218" t="str">
        <f>IFERROR(VLOOKUP(AV15,'ATP - RSAs'!$C:$C,1,FALSE),"#N/A")</f>
        <v>Clinical Trial Results</v>
      </c>
      <c r="AX15" s="219" t="s">
        <v>51</v>
      </c>
      <c r="AY15" s="219" t="str">
        <f>IFERROR(VLOOKUP(AX15,'ATP - RSAs'!$E:$E,1,FALSE),"#N/A")</f>
        <v>2 or 3</v>
      </c>
      <c r="AZ15" s="219" t="str">
        <f t="shared" si="8"/>
        <v>Unbranded Condition Unbranded DLBCL Diagnosis Clinical Trial Results 2 or 3</v>
      </c>
      <c r="BA15" s="219" t="str">
        <f>VLOOKUP(AZ15,'ATP - RSAs'!$N:$N,1,FALSE)</f>
        <v>Unbranded Condition Unbranded DLBCL Diagnosis Clinical Trial Results 2 or 3</v>
      </c>
      <c r="BB15" s="218" t="s">
        <v>58</v>
      </c>
      <c r="BC15" s="218" t="str">
        <f>IFERROR(VLOOKUP(BB15,'ATP - RSAs'!$C:$C,1,FALSE),"#N/A")</f>
        <v>Information For Patients</v>
      </c>
      <c r="BD15" s="219" t="s">
        <v>51</v>
      </c>
      <c r="BE15" s="219" t="str">
        <f>IFERROR(VLOOKUP(BD15,'ATP - RSAs'!$E:$E,1,FALSE),"#N/A")</f>
        <v>2 or 3</v>
      </c>
      <c r="BF15" s="219" t="str">
        <f t="shared" si="9"/>
        <v>Unbranded Condition Unbranded DLBCL Diagnosis Information For Patients 2 or 3</v>
      </c>
      <c r="BG15" s="219" t="str">
        <f>VLOOKUP(BF15,'ATP - RSAs'!$N:$N,1,FALSE)</f>
        <v>Unbranded Condition Unbranded DLBCL Diagnosis Information For Patients 2 or 3</v>
      </c>
      <c r="BH15" s="218" t="s">
        <v>59</v>
      </c>
      <c r="BI15" s="218" t="str">
        <f>IFERROR(VLOOKUP(BH15,'ATP - RSAs'!$C:$C,1,FALSE),"#N/A")</f>
        <v>Efficacy &amp; Safety Information</v>
      </c>
      <c r="BJ15" s="219" t="s">
        <v>51</v>
      </c>
      <c r="BK15" s="219" t="str">
        <f>IFERROR(VLOOKUP(BJ15,'ATP - RSAs'!$E:$E,1,FALSE),"#N/A")</f>
        <v>2 or 3</v>
      </c>
      <c r="BL15" s="219" t="str">
        <f t="shared" si="10"/>
        <v>Unbranded Condition Unbranded DLBCL Diagnosis Efficacy &amp; Safety Information 2 or 3</v>
      </c>
      <c r="BM15" s="219" t="str">
        <f>VLOOKUP(BL15,'ATP - RSAs'!$N:$N,1,FALSE)</f>
        <v>Unbranded Condition Unbranded DLBCL Diagnosis Efficacy &amp; Safety Information 2 or 3</v>
      </c>
      <c r="BN15" s="218" t="s">
        <v>72</v>
      </c>
      <c r="BO15" s="218" t="str">
        <f>IFERROR(VLOOKUP(BN15,'ATP - RSAs'!$C:$C,1,FALSE),"#N/A")</f>
        <v>Diffuse Large B-Cell Lymphoma</v>
      </c>
      <c r="BP15" s="219" t="s">
        <v>51</v>
      </c>
      <c r="BQ15" s="219" t="str">
        <f>IFERROR(VLOOKUP(BP15,'ATP - RSAs'!$E:$E,1,FALSE),"#N/A")</f>
        <v>2 or 3</v>
      </c>
      <c r="BR15" s="219" t="str">
        <f t="shared" si="11"/>
        <v>Unbranded Condition Unbranded DLBCL Diagnosis Diffuse Large B-Cell Lymphoma 2 or 3</v>
      </c>
      <c r="BS15" s="219" t="str">
        <f>VLOOKUP(BR15,'ATP - RSAs'!$N:$N,1,FALSE)</f>
        <v>Unbranded Condition Unbranded DLBCL Diagnosis Diffuse Large B-Cell Lymphoma 2 or 3</v>
      </c>
      <c r="BT15" s="218" t="s">
        <v>61</v>
      </c>
      <c r="BU15" s="218" t="str">
        <f>IFERROR(VLOOKUP(BT15,'ATP - RSAs'!$C:$C,1,FALSE),"#N/A")</f>
        <v>3L+ DLBCL Treatment Support</v>
      </c>
      <c r="BV15" s="219" t="s">
        <v>51</v>
      </c>
      <c r="BW15" s="219" t="str">
        <f>IFERROR(VLOOKUP(BV15,'ATP - RSAs'!$E:$E,1,FALSE),"#N/A")</f>
        <v>2 or 3</v>
      </c>
      <c r="BX15" s="219" t="str">
        <f t="shared" si="12"/>
        <v>Unbranded Condition Unbranded DLBCL Diagnosis 3L+ DLBCL Treatment Support 2 or 3</v>
      </c>
      <c r="BY15" s="219" t="str">
        <f>VLOOKUP(BX15,'ATP - RSAs'!$N:$N,1,FALSE)</f>
        <v>Unbranded Condition Unbranded DLBCL Diagnosis 3L+ DLBCL Treatment Support 2 or 3</v>
      </c>
      <c r="BZ15" s="218" t="s">
        <v>62</v>
      </c>
      <c r="CA15" s="218" t="str">
        <f>IFERROR(VLOOKUP(BZ15,'ATP - RSAs'!$C:$C,1,FALSE),"#N/A")</f>
        <v>3L+ DLBCL Patient Resources</v>
      </c>
      <c r="CB15" s="219" t="s">
        <v>51</v>
      </c>
      <c r="CC15" s="219" t="str">
        <f>IFERROR(VLOOKUP(CB15,'ATP - RSAs'!$E:$E,1,FALSE),"#N/A")</f>
        <v>2 or 3</v>
      </c>
      <c r="CD15" s="219" t="str">
        <f t="shared" si="13"/>
        <v>Unbranded Condition Unbranded DLBCL Diagnosis 3L+ DLBCL Patient Resources 2 or 3</v>
      </c>
      <c r="CE15" s="219" t="str">
        <f>VLOOKUP(CD15,'ATP - RSAs'!$N:$N,1,FALSE)</f>
        <v>Unbranded Condition Unbranded DLBCL Diagnosis 3L+ DLBCL Patient Resources 2 or 3</v>
      </c>
      <c r="CF15" s="218" t="s">
        <v>63</v>
      </c>
      <c r="CG15" s="218" t="str">
        <f>IFERROR(VLOOKUP(CF15,'ATP - RSAs'!$F:$F,1,FALSE),"#N/A")</f>
        <v>Discover A Fixed-Duration Treatment Option For 3L+ DLBCL And View Important Safety Info.</v>
      </c>
      <c r="CH15" s="219" t="s">
        <v>64</v>
      </c>
      <c r="CI15" s="219" t="str">
        <f>IFERROR(VLOOKUP(CH15,'ATP - RSAs'!$H:$H,1,FALSE),"#N/A")</f>
        <v>Any</v>
      </c>
      <c r="CJ15" s="219" t="str">
        <f t="shared" si="14"/>
        <v>Discover A Fixed-Duration Treatment Option For 3L+ DLBCL And View Important Safety Info. Any</v>
      </c>
      <c r="CK15" s="219" t="str">
        <f>VLOOKUP(CJ15,'ATP - RSAs'!$O:$O,1,FALSE)</f>
        <v>Discover A Fixed-Duration Treatment Option For 3L+ DLBCL And View Important Safety Info. Any</v>
      </c>
      <c r="CL15" s="218" t="s">
        <v>65</v>
      </c>
      <c r="CM15" s="218" t="str">
        <f>IFERROR(VLOOKUP(CL15,'ATP - RSAs'!$F:$F,1,FALSE),"#N/A")</f>
        <v>Download The Patient Brochure To Learn More About A DLBCL Fixed-Duration Treatment.</v>
      </c>
      <c r="CN15" s="219" t="s">
        <v>64</v>
      </c>
      <c r="CO15" s="219" t="str">
        <f>IFERROR(VLOOKUP(CN15,'ATP - RSAs'!$H:$H,1,FALSE),"#N/A")</f>
        <v>Any</v>
      </c>
      <c r="CP15" s="219" t="str">
        <f t="shared" si="15"/>
        <v>Download The Patient Brochure To Learn More About A DLBCL Fixed-Duration Treatment. Any</v>
      </c>
      <c r="CQ15" s="219" t="str">
        <f>VLOOKUP(CP15,'ATP - RSAs'!$O:$O,1,FALSE)</f>
        <v>Download The Patient Brochure To Learn More About A DLBCL Fixed-Duration Treatment. Any</v>
      </c>
      <c r="CR15" s="218" t="s">
        <v>66</v>
      </c>
      <c r="CS15" s="218" t="str">
        <f>IFERROR(VLOOKUP(CR15,'ATP - RSAs'!$F:$F,1,FALSE),"#N/A")</f>
        <v>Explore An Infusion Option For Diffuse Large B Cell Lymphoma &amp; View Clinical Results.</v>
      </c>
      <c r="CT15" s="219" t="s">
        <v>64</v>
      </c>
      <c r="CU15" s="219" t="str">
        <f>IFERROR(VLOOKUP(CT15,'ATP - RSAs'!$H:$H,1,FALSE),"#N/A")</f>
        <v>Any</v>
      </c>
      <c r="CV15" s="219" t="str">
        <f t="shared" si="16"/>
        <v>Explore An Infusion Option For Diffuse Large B Cell Lymphoma &amp; View Clinical Results. Any</v>
      </c>
      <c r="CW15" s="219" t="str">
        <f>VLOOKUP(CV15,'ATP - RSAs'!$O:$O,1,FALSE)</f>
        <v>Explore An Infusion Option For Diffuse Large B Cell Lymphoma &amp; View Clinical Results. Any</v>
      </c>
      <c r="CX15" s="218" t="s">
        <v>74</v>
      </c>
      <c r="CY15" s="218" t="str">
        <f>IFERROR(VLOOKUP(CX15,'ATP - RSAs'!$F:$F,1,FALSE),"#N/A")</f>
        <v>Learn More About Starting Treatment For 3L+ DLBCL After Two Or More Prior Therapies.</v>
      </c>
      <c r="CZ15" s="219" t="s">
        <v>64</v>
      </c>
      <c r="DA15" s="219" t="str">
        <f>IFERROR(VLOOKUP(CZ15,'ATP - RSAs'!$H:$H,1,FALSE),"#N/A")</f>
        <v>Any</v>
      </c>
      <c r="DB15" s="219" t="str">
        <f t="shared" si="17"/>
        <v>Learn More About Starting Treatment For 3L+ DLBCL After Two Or More Prior Therapies. Any</v>
      </c>
      <c r="DC15" s="219" t="str">
        <f>VLOOKUP(DB15,'ATP - RSAs'!$O:$O,1,FALSE)</f>
        <v>Learn More About Starting Treatment For 3L+ DLBCL After Two Or More Prior Therapies. Any</v>
      </c>
      <c r="DD15" s="218" t="s">
        <v>309</v>
      </c>
      <c r="DE15" s="218" t="s">
        <v>69</v>
      </c>
    </row>
    <row r="16" spans="1:109" ht="14.4" x14ac:dyDescent="0.3">
      <c r="A16" s="4" t="s">
        <v>46</v>
      </c>
      <c r="B16" s="4" t="str">
        <f>IFERROR(VLOOKUP(A16,'ATP - RSAs'!$A:$A,1,FALSE),"#N/A")</f>
        <v>Unbranded Condition</v>
      </c>
      <c r="C16" s="4" t="s">
        <v>78</v>
      </c>
      <c r="D16" s="4" t="str">
        <f>IFERROR(VLOOKUP(C16,'ATP - RSAs'!$B:$B,1,FALSE),"#N/A")</f>
        <v>Unbranded DLBCL Resources</v>
      </c>
      <c r="E16" s="4" t="str">
        <f t="shared" si="0"/>
        <v>Unbranded Condition Unbranded DLBCL Resources</v>
      </c>
      <c r="F16" s="218" t="s">
        <v>49</v>
      </c>
      <c r="G16" s="218" t="str">
        <f>IFERROR(VLOOKUP(F16,'ATP - RSAs'!$C:$C,1,FALSE),"#N/A")</f>
        <v>Treatment Option For 3L+ DLBCL</v>
      </c>
      <c r="H16" s="219">
        <v>1</v>
      </c>
      <c r="I16" s="219">
        <f>IFERROR(VLOOKUP(H16,'ATP - RSAs'!$E:$E,1,FALSE),"#N/A")</f>
        <v>1</v>
      </c>
      <c r="J16" s="219" t="str">
        <f t="shared" si="1"/>
        <v>Unbranded Condition Unbranded DLBCL Resources Treatment Option For 3L+ DLBCL 1</v>
      </c>
      <c r="K16" s="219" t="str">
        <f>VLOOKUP(J16,'ATP - RSAs'!$N:$N,1,FALSE)</f>
        <v>Unbranded Condition Unbranded DLBCL Resources Treatment Option For 3L+ DLBCL 1</v>
      </c>
      <c r="L16" s="218" t="s">
        <v>50</v>
      </c>
      <c r="M16" s="218" t="str">
        <f>IFERROR(VLOOKUP(L16,'ATP - RSAs'!$C:$C,1,FALSE),"#N/A")</f>
        <v>Download The Patient Brochure</v>
      </c>
      <c r="N16" s="219" t="s">
        <v>51</v>
      </c>
      <c r="O16" s="219" t="str">
        <f>IFERROR(VLOOKUP(N16,'ATP - RSAs'!$E:$E,1,FALSE),"#N/A")</f>
        <v>2 or 3</v>
      </c>
      <c r="P16" s="219" t="str">
        <f t="shared" si="2"/>
        <v>Unbranded Condition Unbranded DLBCL Resources Download The Patient Brochure 2 or 3</v>
      </c>
      <c r="Q16" s="219" t="str">
        <f>VLOOKUP(P16,'ATP - RSAs'!$N:$N,1,FALSE)</f>
        <v>Unbranded Condition Unbranded DLBCL Resources Download The Patient Brochure 2 or 3</v>
      </c>
      <c r="R16" s="218" t="s">
        <v>52</v>
      </c>
      <c r="S16" s="218" t="str">
        <f>IFERROR(VLOOKUP(R16,'ATP - RSAs'!$C:$C,1,FALSE),"#N/A")</f>
        <v>Resources For Patients</v>
      </c>
      <c r="T16" s="219" t="s">
        <v>51</v>
      </c>
      <c r="U16" s="219" t="str">
        <f>IFERROR(VLOOKUP(T16,'ATP - RSAs'!$E:$E,1,FALSE),"#N/A")</f>
        <v>2 or 3</v>
      </c>
      <c r="V16" s="219" t="str">
        <f t="shared" si="3"/>
        <v>Unbranded Condition Unbranded DLBCL Resources Resources For Patients 2 or 3</v>
      </c>
      <c r="W16" s="219" t="str">
        <f>VLOOKUP(V16,'ATP - RSAs'!$N:$N,1,FALSE)</f>
        <v>Unbranded Condition Unbranded DLBCL Resources Resources For Patients 2 or 3</v>
      </c>
      <c r="X16" s="218" t="s">
        <v>53</v>
      </c>
      <c r="Y16" s="218" t="str">
        <f>IFERROR(VLOOKUP(X16,'ATP - RSAs'!$C:$C,1,FALSE),"#N/A")</f>
        <v>Financial Assistance Options</v>
      </c>
      <c r="Z16" s="219" t="s">
        <v>51</v>
      </c>
      <c r="AA16" s="219" t="str">
        <f>IFERROR(VLOOKUP(Z16,'ATP - RSAs'!$E:$E,1,FALSE),"#N/A")</f>
        <v>2 or 3</v>
      </c>
      <c r="AB16" s="219" t="str">
        <f t="shared" si="4"/>
        <v>Unbranded Condition Unbranded DLBCL Resources Financial Assistance Options 2 or 3</v>
      </c>
      <c r="AC16" s="219" t="str">
        <f>VLOOKUP(AB16,'ATP - RSAs'!$N:$N,1,FALSE)</f>
        <v>Unbranded Condition Unbranded DLBCL Resources Financial Assistance Options 2 or 3</v>
      </c>
      <c r="AD16" s="218" t="s">
        <v>54</v>
      </c>
      <c r="AE16" s="218" t="str">
        <f>IFERROR(VLOOKUP(AD16,'ATP - RSAs'!$C:$C,1,FALSE),"#N/A")</f>
        <v>Important Safety Information</v>
      </c>
      <c r="AF16" s="219" t="s">
        <v>51</v>
      </c>
      <c r="AG16" s="219" t="str">
        <f>IFERROR(VLOOKUP(AF16,'ATP - RSAs'!$E:$E,1,FALSE),"#N/A")</f>
        <v>2 or 3</v>
      </c>
      <c r="AH16" s="219" t="str">
        <f t="shared" si="5"/>
        <v>Unbranded Condition Unbranded DLBCL Resources Important Safety Information 2 or 3</v>
      </c>
      <c r="AI16" s="219" t="str">
        <f>VLOOKUP(AH16,'ATP - RSAs'!$N:$N,1,FALSE)</f>
        <v>Unbranded Condition Unbranded DLBCL Resources Important Safety Information 2 or 3</v>
      </c>
      <c r="AJ16" s="218" t="s">
        <v>55</v>
      </c>
      <c r="AK16" s="218" t="str">
        <f>IFERROR(VLOOKUP(AJ16,'ATP - RSAs'!$C:$C,1,FALSE),"#N/A")</f>
        <v>Questions To Ask Your Doctor</v>
      </c>
      <c r="AL16" s="219" t="s">
        <v>51</v>
      </c>
      <c r="AM16" s="219" t="str">
        <f>IFERROR(VLOOKUP(AL16,'ATP - RSAs'!$E:$E,1,FALSE),"#N/A")</f>
        <v>2 or 3</v>
      </c>
      <c r="AN16" s="219" t="str">
        <f t="shared" si="6"/>
        <v>Unbranded Condition Unbranded DLBCL Resources Questions To Ask Your Doctor 2 or 3</v>
      </c>
      <c r="AO16" s="219" t="str">
        <f>VLOOKUP(AN16,'ATP - RSAs'!$N:$N,1,FALSE)</f>
        <v>Unbranded Condition Unbranded DLBCL Resources Questions To Ask Your Doctor 2 or 3</v>
      </c>
      <c r="AP16" s="218" t="s">
        <v>56</v>
      </c>
      <c r="AQ16" s="218" t="str">
        <f>IFERROR(VLOOKUP(AP16,'ATP - RSAs'!$C:$C,1,FALSE),"#N/A")</f>
        <v>DLBCL Infusion Therapy</v>
      </c>
      <c r="AR16" s="219" t="s">
        <v>51</v>
      </c>
      <c r="AS16" s="219" t="str">
        <f>IFERROR(VLOOKUP(AR16,'ATP - RSAs'!$E:$E,1,FALSE),"#N/A")</f>
        <v>2 or 3</v>
      </c>
      <c r="AT16" s="219" t="str">
        <f t="shared" si="7"/>
        <v>Unbranded Condition Unbranded DLBCL Resources DLBCL Infusion Therapy 2 or 3</v>
      </c>
      <c r="AU16" s="219" t="str">
        <f>VLOOKUP(AT16,'ATP - RSAs'!$N:$N,1,FALSE)</f>
        <v>Unbranded Condition Unbranded DLBCL Resources DLBCL Infusion Therapy 2 or 3</v>
      </c>
      <c r="AV16" s="218" t="s">
        <v>79</v>
      </c>
      <c r="AW16" s="218" t="str">
        <f>IFERROR(VLOOKUP(AV16,'ATP - RSAs'!$C:$C,1,FALSE),"#N/A")</f>
        <v>Downloadable Resources</v>
      </c>
      <c r="AX16" s="219" t="s">
        <v>51</v>
      </c>
      <c r="AY16" s="219" t="str">
        <f>IFERROR(VLOOKUP(AX16,'ATP - RSAs'!$E:$E,1,FALSE),"#N/A")</f>
        <v>2 or 3</v>
      </c>
      <c r="AZ16" s="219" t="str">
        <f t="shared" si="8"/>
        <v>Unbranded Condition Unbranded DLBCL Resources Downloadable Resources 2 or 3</v>
      </c>
      <c r="BA16" s="219" t="str">
        <f>VLOOKUP(AZ16,'ATP - RSAs'!$N:$N,1,FALSE)</f>
        <v>Unbranded Condition Unbranded DLBCL Resources Downloadable Resources 2 or 3</v>
      </c>
      <c r="BB16" s="218" t="s">
        <v>58</v>
      </c>
      <c r="BC16" s="218" t="str">
        <f>IFERROR(VLOOKUP(BB16,'ATP - RSAs'!$C:$C,1,FALSE),"#N/A")</f>
        <v>Information For Patients</v>
      </c>
      <c r="BD16" s="219" t="s">
        <v>51</v>
      </c>
      <c r="BE16" s="219" t="str">
        <f>IFERROR(VLOOKUP(BD16,'ATP - RSAs'!$E:$E,1,FALSE),"#N/A")</f>
        <v>2 or 3</v>
      </c>
      <c r="BF16" s="219" t="str">
        <f t="shared" si="9"/>
        <v>Unbranded Condition Unbranded DLBCL Resources Information For Patients 2 or 3</v>
      </c>
      <c r="BG16" s="219" t="str">
        <f>VLOOKUP(BF16,'ATP - RSAs'!$N:$N,1,FALSE)</f>
        <v>Unbranded Condition Unbranded DLBCL Resources Information For Patients 2 or 3</v>
      </c>
      <c r="BH16" s="218" t="s">
        <v>59</v>
      </c>
      <c r="BI16" s="218" t="str">
        <f>IFERROR(VLOOKUP(BH16,'ATP - RSAs'!$C:$C,1,FALSE),"#N/A")</f>
        <v>Efficacy &amp; Safety Information</v>
      </c>
      <c r="BJ16" s="219" t="s">
        <v>51</v>
      </c>
      <c r="BK16" s="219" t="str">
        <f>IFERROR(VLOOKUP(BJ16,'ATP - RSAs'!$E:$E,1,FALSE),"#N/A")</f>
        <v>2 or 3</v>
      </c>
      <c r="BL16" s="219" t="str">
        <f t="shared" si="10"/>
        <v>Unbranded Condition Unbranded DLBCL Resources Efficacy &amp; Safety Information 2 or 3</v>
      </c>
      <c r="BM16" s="219" t="str">
        <f>VLOOKUP(BL16,'ATP - RSAs'!$N:$N,1,FALSE)</f>
        <v>Unbranded Condition Unbranded DLBCL Resources Efficacy &amp; Safety Information 2 or 3</v>
      </c>
      <c r="BN16" s="218" t="s">
        <v>80</v>
      </c>
      <c r="BO16" s="218" t="str">
        <f>IFERROR(VLOOKUP(BN16,'ATP - RSAs'!$C:$C,1,FALSE),"#N/A")</f>
        <v>Infusion Information Sheet</v>
      </c>
      <c r="BP16" s="219" t="s">
        <v>51</v>
      </c>
      <c r="BQ16" s="219" t="str">
        <f>IFERROR(VLOOKUP(BP16,'ATP - RSAs'!$E:$E,1,FALSE),"#N/A")</f>
        <v>2 or 3</v>
      </c>
      <c r="BR16" s="219" t="str">
        <f t="shared" si="11"/>
        <v>Unbranded Condition Unbranded DLBCL Resources Infusion Information Sheet 2 or 3</v>
      </c>
      <c r="BS16" s="219" t="str">
        <f>VLOOKUP(BR16,'ATP - RSAs'!$N:$N,1,FALSE)</f>
        <v>Unbranded Condition Unbranded DLBCL Resources Infusion Information Sheet 2 or 3</v>
      </c>
      <c r="BT16" s="218" t="s">
        <v>61</v>
      </c>
      <c r="BU16" s="218" t="str">
        <f>IFERROR(VLOOKUP(BT16,'ATP - RSAs'!$C:$C,1,FALSE),"#N/A")</f>
        <v>3L+ DLBCL Treatment Support</v>
      </c>
      <c r="BV16" s="219" t="s">
        <v>51</v>
      </c>
      <c r="BW16" s="219" t="str">
        <f>IFERROR(VLOOKUP(BV16,'ATP - RSAs'!$E:$E,1,FALSE),"#N/A")</f>
        <v>2 or 3</v>
      </c>
      <c r="BX16" s="219" t="str">
        <f t="shared" si="12"/>
        <v>Unbranded Condition Unbranded DLBCL Resources 3L+ DLBCL Treatment Support 2 or 3</v>
      </c>
      <c r="BY16" s="219" t="str">
        <f>VLOOKUP(BX16,'ATP - RSAs'!$N:$N,1,FALSE)</f>
        <v>Unbranded Condition Unbranded DLBCL Resources 3L+ DLBCL Treatment Support 2 or 3</v>
      </c>
      <c r="BZ16" s="218" t="s">
        <v>62</v>
      </c>
      <c r="CA16" s="218" t="str">
        <f>IFERROR(VLOOKUP(BZ16,'ATP - RSAs'!$C:$C,1,FALSE),"#N/A")</f>
        <v>3L+ DLBCL Patient Resources</v>
      </c>
      <c r="CB16" s="219" t="s">
        <v>51</v>
      </c>
      <c r="CC16" s="219" t="str">
        <f>IFERROR(VLOOKUP(CB16,'ATP - RSAs'!$E:$E,1,FALSE),"#N/A")</f>
        <v>2 or 3</v>
      </c>
      <c r="CD16" s="219" t="str">
        <f t="shared" si="13"/>
        <v>Unbranded Condition Unbranded DLBCL Resources 3L+ DLBCL Patient Resources 2 or 3</v>
      </c>
      <c r="CE16" s="219" t="str">
        <f>VLOOKUP(CD16,'ATP - RSAs'!$N:$N,1,FALSE)</f>
        <v>Unbranded Condition Unbranded DLBCL Resources 3L+ DLBCL Patient Resources 2 or 3</v>
      </c>
      <c r="CF16" s="218" t="s">
        <v>63</v>
      </c>
      <c r="CG16" s="218" t="str">
        <f>IFERROR(VLOOKUP(CF16,'ATP - RSAs'!$F:$F,1,FALSE),"#N/A")</f>
        <v>Discover A Fixed-Duration Treatment Option For 3L+ DLBCL And View Important Safety Info.</v>
      </c>
      <c r="CH16" s="219" t="s">
        <v>64</v>
      </c>
      <c r="CI16" s="219" t="str">
        <f>IFERROR(VLOOKUP(CH16,'ATP - RSAs'!$H:$H,1,FALSE),"#N/A")</f>
        <v>Any</v>
      </c>
      <c r="CJ16" s="219" t="str">
        <f t="shared" si="14"/>
        <v>Discover A Fixed-Duration Treatment Option For 3L+ DLBCL And View Important Safety Info. Any</v>
      </c>
      <c r="CK16" s="219" t="str">
        <f>VLOOKUP(CJ16,'ATP - RSAs'!$O:$O,1,FALSE)</f>
        <v>Discover A Fixed-Duration Treatment Option For 3L+ DLBCL And View Important Safety Info. Any</v>
      </c>
      <c r="CL16" s="218" t="s">
        <v>65</v>
      </c>
      <c r="CM16" s="218" t="str">
        <f>IFERROR(VLOOKUP(CL16,'ATP - RSAs'!$F:$F,1,FALSE),"#N/A")</f>
        <v>Download The Patient Brochure To Learn More About A DLBCL Fixed-Duration Treatment.</v>
      </c>
      <c r="CN16" s="219" t="s">
        <v>64</v>
      </c>
      <c r="CO16" s="219" t="str">
        <f>IFERROR(VLOOKUP(CN16,'ATP - RSAs'!$H:$H,1,FALSE),"#N/A")</f>
        <v>Any</v>
      </c>
      <c r="CP16" s="219" t="str">
        <f t="shared" si="15"/>
        <v>Download The Patient Brochure To Learn More About A DLBCL Fixed-Duration Treatment. Any</v>
      </c>
      <c r="CQ16" s="219" t="str">
        <f>VLOOKUP(CP16,'ATP - RSAs'!$O:$O,1,FALSE)</f>
        <v>Download The Patient Brochure To Learn More About A DLBCL Fixed-Duration Treatment. Any</v>
      </c>
      <c r="CR16" s="218" t="s">
        <v>66</v>
      </c>
      <c r="CS16" s="218" t="str">
        <f>IFERROR(VLOOKUP(CR16,'ATP - RSAs'!$F:$F,1,FALSE),"#N/A")</f>
        <v>Explore An Infusion Option For Diffuse Large B Cell Lymphoma &amp; View Clinical Results.</v>
      </c>
      <c r="CT16" s="219" t="s">
        <v>64</v>
      </c>
      <c r="CU16" s="219" t="str">
        <f>IFERROR(VLOOKUP(CT16,'ATP - RSAs'!$H:$H,1,FALSE),"#N/A")</f>
        <v>Any</v>
      </c>
      <c r="CV16" s="219" t="str">
        <f t="shared" si="16"/>
        <v>Explore An Infusion Option For Diffuse Large B Cell Lymphoma &amp; View Clinical Results. Any</v>
      </c>
      <c r="CW16" s="219" t="str">
        <f>VLOOKUP(CV16,'ATP - RSAs'!$O:$O,1,FALSE)</f>
        <v>Explore An Infusion Option For Diffuse Large B Cell Lymphoma &amp; View Clinical Results. Any</v>
      </c>
      <c r="CX16" s="218" t="s">
        <v>74</v>
      </c>
      <c r="CY16" s="218" t="str">
        <f>IFERROR(VLOOKUP(CX16,'ATP - RSAs'!$F:$F,1,FALSE),"#N/A")</f>
        <v>Learn More About Starting Treatment For 3L+ DLBCL After Two Or More Prior Therapies.</v>
      </c>
      <c r="CZ16" s="219" t="s">
        <v>64</v>
      </c>
      <c r="DA16" s="219" t="str">
        <f>IFERROR(VLOOKUP(CZ16,'ATP - RSAs'!$H:$H,1,FALSE),"#N/A")</f>
        <v>Any</v>
      </c>
      <c r="DB16" s="219" t="str">
        <f t="shared" si="17"/>
        <v>Learn More About Starting Treatment For 3L+ DLBCL After Two Or More Prior Therapies. Any</v>
      </c>
      <c r="DC16" s="219" t="str">
        <f>VLOOKUP(DB16,'ATP - RSAs'!$O:$O,1,FALSE)</f>
        <v>Learn More About Starting Treatment For 3L+ DLBCL After Two Or More Prior Therapies. Any</v>
      </c>
      <c r="DD16" s="218" t="s">
        <v>309</v>
      </c>
      <c r="DE16" s="218" t="s">
        <v>81</v>
      </c>
    </row>
    <row r="17" spans="1:109" ht="14.4" x14ac:dyDescent="0.3">
      <c r="A17" s="4" t="s">
        <v>46</v>
      </c>
      <c r="B17" s="4" t="str">
        <f>IFERROR(VLOOKUP(A17,'ATP - RSAs'!$A:$A,1,FALSE),"#N/A")</f>
        <v>Unbranded Condition</v>
      </c>
      <c r="C17" s="4" t="s">
        <v>83</v>
      </c>
      <c r="D17" s="4" t="str">
        <f>IFERROR(VLOOKUP(C17,'ATP - RSAs'!$B:$B,1,FALSE),"#N/A")</f>
        <v>Unbranded DLBCL Financial Support</v>
      </c>
      <c r="E17" s="4" t="str">
        <f t="shared" si="0"/>
        <v>Unbranded Condition Unbranded DLBCL Financial Support</v>
      </c>
      <c r="F17" s="218" t="s">
        <v>49</v>
      </c>
      <c r="G17" s="218" t="str">
        <f>IFERROR(VLOOKUP(F17,'ATP - RSAs'!$C:$C,1,FALSE),"#N/A")</f>
        <v>Treatment Option For 3L+ DLBCL</v>
      </c>
      <c r="H17" s="219">
        <v>1</v>
      </c>
      <c r="I17" s="219">
        <f>IFERROR(VLOOKUP(H17,'ATP - RSAs'!$E:$E,1,FALSE),"#N/A")</f>
        <v>1</v>
      </c>
      <c r="J17" s="219" t="str">
        <f t="shared" si="1"/>
        <v>Unbranded Condition Unbranded DLBCL Financial Support Treatment Option For 3L+ DLBCL 1</v>
      </c>
      <c r="K17" s="219" t="str">
        <f>VLOOKUP(J17,'ATP - RSAs'!$N:$N,1,FALSE)</f>
        <v>Unbranded Condition Unbranded DLBCL Financial Support Treatment Option For 3L+ DLBCL 1</v>
      </c>
      <c r="L17" s="218" t="s">
        <v>50</v>
      </c>
      <c r="M17" s="218" t="str">
        <f>IFERROR(VLOOKUP(L17,'ATP - RSAs'!$C:$C,1,FALSE),"#N/A")</f>
        <v>Download The Patient Brochure</v>
      </c>
      <c r="N17" s="219" t="s">
        <v>51</v>
      </c>
      <c r="O17" s="219" t="str">
        <f>IFERROR(VLOOKUP(N17,'ATP - RSAs'!$E:$E,1,FALSE),"#N/A")</f>
        <v>2 or 3</v>
      </c>
      <c r="P17" s="219" t="str">
        <f t="shared" si="2"/>
        <v>Unbranded Condition Unbranded DLBCL Financial Support Download The Patient Brochure 2 or 3</v>
      </c>
      <c r="Q17" s="219" t="str">
        <f>VLOOKUP(P17,'ATP - RSAs'!$N:$N,1,FALSE)</f>
        <v>Unbranded Condition Unbranded DLBCL Financial Support Download The Patient Brochure 2 or 3</v>
      </c>
      <c r="R17" s="218" t="s">
        <v>52</v>
      </c>
      <c r="S17" s="218" t="str">
        <f>IFERROR(VLOOKUP(R17,'ATP - RSAs'!$C:$C,1,FALSE),"#N/A")</f>
        <v>Resources For Patients</v>
      </c>
      <c r="T17" s="219" t="s">
        <v>51</v>
      </c>
      <c r="U17" s="219" t="str">
        <f>IFERROR(VLOOKUP(T17,'ATP - RSAs'!$E:$E,1,FALSE),"#N/A")</f>
        <v>2 or 3</v>
      </c>
      <c r="V17" s="219" t="str">
        <f t="shared" si="3"/>
        <v>Unbranded Condition Unbranded DLBCL Financial Support Resources For Patients 2 or 3</v>
      </c>
      <c r="W17" s="219" t="str">
        <f>VLOOKUP(V17,'ATP - RSAs'!$N:$N,1,FALSE)</f>
        <v>Unbranded Condition Unbranded DLBCL Financial Support Resources For Patients 2 or 3</v>
      </c>
      <c r="X17" s="218" t="s">
        <v>53</v>
      </c>
      <c r="Y17" s="218" t="str">
        <f>IFERROR(VLOOKUP(X17,'ATP - RSAs'!$C:$C,1,FALSE),"#N/A")</f>
        <v>Financial Assistance Options</v>
      </c>
      <c r="Z17" s="219" t="s">
        <v>51</v>
      </c>
      <c r="AA17" s="219" t="str">
        <f>IFERROR(VLOOKUP(Z17,'ATP - RSAs'!$E:$E,1,FALSE),"#N/A")</f>
        <v>2 or 3</v>
      </c>
      <c r="AB17" s="219" t="str">
        <f t="shared" si="4"/>
        <v>Unbranded Condition Unbranded DLBCL Financial Support Financial Assistance Options 2 or 3</v>
      </c>
      <c r="AC17" s="219" t="str">
        <f>VLOOKUP(AB17,'ATP - RSAs'!$N:$N,1,FALSE)</f>
        <v>Unbranded Condition Unbranded DLBCL Financial Support Financial Assistance Options 2 or 3</v>
      </c>
      <c r="AD17" s="218" t="s">
        <v>54</v>
      </c>
      <c r="AE17" s="218" t="str">
        <f>IFERROR(VLOOKUP(AD17,'ATP - RSAs'!$C:$C,1,FALSE),"#N/A")</f>
        <v>Important Safety Information</v>
      </c>
      <c r="AF17" s="219" t="s">
        <v>51</v>
      </c>
      <c r="AG17" s="219" t="str">
        <f>IFERROR(VLOOKUP(AF17,'ATP - RSAs'!$E:$E,1,FALSE),"#N/A")</f>
        <v>2 or 3</v>
      </c>
      <c r="AH17" s="219" t="str">
        <f t="shared" si="5"/>
        <v>Unbranded Condition Unbranded DLBCL Financial Support Important Safety Information 2 or 3</v>
      </c>
      <c r="AI17" s="219" t="str">
        <f>VLOOKUP(AH17,'ATP - RSAs'!$N:$N,1,FALSE)</f>
        <v>Unbranded Condition Unbranded DLBCL Financial Support Important Safety Information 2 or 3</v>
      </c>
      <c r="AJ17" s="218" t="s">
        <v>55</v>
      </c>
      <c r="AK17" s="218" t="str">
        <f>IFERROR(VLOOKUP(AJ17,'ATP - RSAs'!$C:$C,1,FALSE),"#N/A")</f>
        <v>Questions To Ask Your Doctor</v>
      </c>
      <c r="AL17" s="219" t="s">
        <v>51</v>
      </c>
      <c r="AM17" s="219" t="str">
        <f>IFERROR(VLOOKUP(AL17,'ATP - RSAs'!$E:$E,1,FALSE),"#N/A")</f>
        <v>2 or 3</v>
      </c>
      <c r="AN17" s="219" t="str">
        <f t="shared" si="6"/>
        <v>Unbranded Condition Unbranded DLBCL Financial Support Questions To Ask Your Doctor 2 or 3</v>
      </c>
      <c r="AO17" s="219" t="str">
        <f>VLOOKUP(AN17,'ATP - RSAs'!$N:$N,1,FALSE)</f>
        <v>Unbranded Condition Unbranded DLBCL Financial Support Questions To Ask Your Doctor 2 or 3</v>
      </c>
      <c r="AP17" s="218" t="s">
        <v>56</v>
      </c>
      <c r="AQ17" s="218" t="str">
        <f>IFERROR(VLOOKUP(AP17,'ATP - RSAs'!$C:$C,1,FALSE),"#N/A")</f>
        <v>DLBCL Infusion Therapy</v>
      </c>
      <c r="AR17" s="219" t="s">
        <v>51</v>
      </c>
      <c r="AS17" s="219" t="str">
        <f>IFERROR(VLOOKUP(AR17,'ATP - RSAs'!$E:$E,1,FALSE),"#N/A")</f>
        <v>2 or 3</v>
      </c>
      <c r="AT17" s="219" t="str">
        <f t="shared" si="7"/>
        <v>Unbranded Condition Unbranded DLBCL Financial Support DLBCL Infusion Therapy 2 or 3</v>
      </c>
      <c r="AU17" s="219" t="str">
        <f>VLOOKUP(AT17,'ATP - RSAs'!$N:$N,1,FALSE)</f>
        <v>Unbranded Condition Unbranded DLBCL Financial Support DLBCL Infusion Therapy 2 or 3</v>
      </c>
      <c r="AV17" s="218" t="s">
        <v>84</v>
      </c>
      <c r="AW17" s="218" t="str">
        <f>IFERROR(VLOOKUP(AV17,'ATP - RSAs'!$C:$C,1,FALSE),"#N/A")</f>
        <v>Financial Assistance Tool</v>
      </c>
      <c r="AX17" s="219" t="s">
        <v>51</v>
      </c>
      <c r="AY17" s="219" t="str">
        <f>IFERROR(VLOOKUP(AX17,'ATP - RSAs'!$E:$E,1,FALSE),"#N/A")</f>
        <v>2 or 3</v>
      </c>
      <c r="AZ17" s="219" t="str">
        <f t="shared" si="8"/>
        <v>Unbranded Condition Unbranded DLBCL Financial Support Financial Assistance Tool 2 or 3</v>
      </c>
      <c r="BA17" s="219" t="str">
        <f>VLOOKUP(AZ17,'ATP - RSAs'!$N:$N,1,FALSE)</f>
        <v>Unbranded Condition Unbranded DLBCL Financial Support Financial Assistance Tool 2 or 3</v>
      </c>
      <c r="BB17" s="218" t="s">
        <v>58</v>
      </c>
      <c r="BC17" s="218" t="str">
        <f>IFERROR(VLOOKUP(BB17,'ATP - RSAs'!$C:$C,1,FALSE),"#N/A")</f>
        <v>Information For Patients</v>
      </c>
      <c r="BD17" s="219" t="s">
        <v>51</v>
      </c>
      <c r="BE17" s="219" t="str">
        <f>IFERROR(VLOOKUP(BD17,'ATP - RSAs'!$E:$E,1,FALSE),"#N/A")</f>
        <v>2 or 3</v>
      </c>
      <c r="BF17" s="219" t="str">
        <f t="shared" si="9"/>
        <v>Unbranded Condition Unbranded DLBCL Financial Support Information For Patients 2 or 3</v>
      </c>
      <c r="BG17" s="219" t="str">
        <f>VLOOKUP(BF17,'ATP - RSAs'!$N:$N,1,FALSE)</f>
        <v>Unbranded Condition Unbranded DLBCL Financial Support Information For Patients 2 or 3</v>
      </c>
      <c r="BH17" s="218" t="s">
        <v>59</v>
      </c>
      <c r="BI17" s="218" t="str">
        <f>IFERROR(VLOOKUP(BH17,'ATP - RSAs'!$C:$C,1,FALSE),"#N/A")</f>
        <v>Efficacy &amp; Safety Information</v>
      </c>
      <c r="BJ17" s="219" t="s">
        <v>51</v>
      </c>
      <c r="BK17" s="219" t="str">
        <f>IFERROR(VLOOKUP(BJ17,'ATP - RSAs'!$E:$E,1,FALSE),"#N/A")</f>
        <v>2 or 3</v>
      </c>
      <c r="BL17" s="219" t="str">
        <f t="shared" si="10"/>
        <v>Unbranded Condition Unbranded DLBCL Financial Support Efficacy &amp; Safety Information 2 or 3</v>
      </c>
      <c r="BM17" s="219" t="str">
        <f>VLOOKUP(BL17,'ATP - RSAs'!$N:$N,1,FALSE)</f>
        <v>Unbranded Condition Unbranded DLBCL Financial Support Efficacy &amp; Safety Information 2 or 3</v>
      </c>
      <c r="BN17" s="218" t="s">
        <v>85</v>
      </c>
      <c r="BO17" s="218" t="str">
        <f>IFERROR(VLOOKUP(BN17,'ATP - RSAs'!$C:$C,1,FALSE),"#N/A")</f>
        <v>DLBCL Financial Support Info</v>
      </c>
      <c r="BP17" s="219" t="s">
        <v>51</v>
      </c>
      <c r="BQ17" s="219" t="str">
        <f>IFERROR(VLOOKUP(BP17,'ATP - RSAs'!$E:$E,1,FALSE),"#N/A")</f>
        <v>2 or 3</v>
      </c>
      <c r="BR17" s="219" t="str">
        <f t="shared" si="11"/>
        <v>Unbranded Condition Unbranded DLBCL Financial Support DLBCL Financial Support Info 2 or 3</v>
      </c>
      <c r="BS17" s="219" t="str">
        <f>VLOOKUP(BR17,'ATP - RSAs'!$N:$N,1,FALSE)</f>
        <v>Unbranded Condition Unbranded DLBCL Financial Support DLBCL Financial Support Info 2 or 3</v>
      </c>
      <c r="BT17" s="218" t="s">
        <v>62</v>
      </c>
      <c r="BU17" s="218" t="str">
        <f>IFERROR(VLOOKUP(BT17,'ATP - RSAs'!$C:$C,1,FALSE),"#N/A")</f>
        <v>3L+ DLBCL Patient Resources</v>
      </c>
      <c r="BV17" s="219" t="s">
        <v>51</v>
      </c>
      <c r="BW17" s="219" t="str">
        <f>IFERROR(VLOOKUP(BV17,'ATP - RSAs'!$E:$E,1,FALSE),"#N/A")</f>
        <v>2 or 3</v>
      </c>
      <c r="BX17" s="219" t="str">
        <f t="shared" si="12"/>
        <v>Unbranded Condition Unbranded DLBCL Financial Support 3L+ DLBCL Patient Resources 2 or 3</v>
      </c>
      <c r="BY17" s="219" t="str">
        <f>VLOOKUP(BX17,'ATP - RSAs'!$N:$N,1,FALSE)</f>
        <v>Unbranded Condition Unbranded DLBCL Financial Support 3L+ DLBCL Patient Resources 2 or 3</v>
      </c>
      <c r="BZ17" s="218" t="s">
        <v>86</v>
      </c>
      <c r="CA17" s="218" t="str">
        <f>IFERROR(VLOOKUP(BZ17,'ATP - RSAs'!$C:$C,1,FALSE),"#N/A")</f>
        <v>Apply For Financial Support</v>
      </c>
      <c r="CB17" s="219" t="s">
        <v>51</v>
      </c>
      <c r="CC17" s="219" t="str">
        <f>IFERROR(VLOOKUP(CB17,'ATP - RSAs'!$E:$E,1,FALSE),"#N/A")</f>
        <v>2 or 3</v>
      </c>
      <c r="CD17" s="219" t="str">
        <f t="shared" si="13"/>
        <v>Unbranded Condition Unbranded DLBCL Financial Support Apply For Financial Support 2 or 3</v>
      </c>
      <c r="CE17" s="219" t="str">
        <f>VLOOKUP(CD17,'ATP - RSAs'!$N:$N,1,FALSE)</f>
        <v>Unbranded Condition Unbranded DLBCL Financial Support Apply For Financial Support 2 or 3</v>
      </c>
      <c r="CF17" s="218" t="s">
        <v>63</v>
      </c>
      <c r="CG17" s="218" t="str">
        <f>IFERROR(VLOOKUP(CF17,'ATP - RSAs'!$F:$F,1,FALSE),"#N/A")</f>
        <v>Discover A Fixed-Duration Treatment Option For 3L+ DLBCL And View Important Safety Info.</v>
      </c>
      <c r="CH17" s="219" t="s">
        <v>64</v>
      </c>
      <c r="CI17" s="219" t="str">
        <f>IFERROR(VLOOKUP(CH17,'ATP - RSAs'!$H:$H,1,FALSE),"#N/A")</f>
        <v>Any</v>
      </c>
      <c r="CJ17" s="219" t="str">
        <f t="shared" si="14"/>
        <v>Discover A Fixed-Duration Treatment Option For 3L+ DLBCL And View Important Safety Info. Any</v>
      </c>
      <c r="CK17" s="219" t="str">
        <f>VLOOKUP(CJ17,'ATP - RSAs'!$O:$O,1,FALSE)</f>
        <v>Discover A Fixed-Duration Treatment Option For 3L+ DLBCL And View Important Safety Info. Any</v>
      </c>
      <c r="CL17" s="218" t="s">
        <v>66</v>
      </c>
      <c r="CM17" s="218" t="str">
        <f>IFERROR(VLOOKUP(CL17,'ATP - RSAs'!$F:$F,1,FALSE),"#N/A")</f>
        <v>Explore An Infusion Option For Diffuse Large B Cell Lymphoma &amp; View Clinical Results.</v>
      </c>
      <c r="CN17" s="219" t="s">
        <v>64</v>
      </c>
      <c r="CO17" s="219" t="str">
        <f>IFERROR(VLOOKUP(CN17,'ATP - RSAs'!$H:$H,1,FALSE),"#N/A")</f>
        <v>Any</v>
      </c>
      <c r="CP17" s="219" t="str">
        <f t="shared" si="15"/>
        <v>Explore An Infusion Option For Diffuse Large B Cell Lymphoma &amp; View Clinical Results. Any</v>
      </c>
      <c r="CQ17" s="219" t="str">
        <f>VLOOKUP(CP17,'ATP - RSAs'!$O:$O,1,FALSE)</f>
        <v>Explore An Infusion Option For Diffuse Large B Cell Lymphoma &amp; View Clinical Results. Any</v>
      </c>
      <c r="CR17" s="218" t="s">
        <v>87</v>
      </c>
      <c r="CS17" s="218" t="str">
        <f>IFERROR(VLOOKUP(CR17,'ATP - RSAs'!$F:$F,1,FALSE),"#N/A")</f>
        <v>Use The Financial Assistance Tool To See Which Programs May Be Right For You.</v>
      </c>
      <c r="CT17" s="219" t="s">
        <v>64</v>
      </c>
      <c r="CU17" s="219" t="str">
        <f>IFERROR(VLOOKUP(CT17,'ATP - RSAs'!$H:$H,1,FALSE),"#N/A")</f>
        <v>Any</v>
      </c>
      <c r="CV17" s="219" t="str">
        <f t="shared" si="16"/>
        <v>Use The Financial Assistance Tool To See Which Programs May Be Right For You. Any</v>
      </c>
      <c r="CW17" s="219" t="str">
        <f>VLOOKUP(CV17,'ATP - RSAs'!$O:$O,1,FALSE)</f>
        <v>Use The Financial Assistance Tool To See Which Programs May Be Right For You. Any</v>
      </c>
      <c r="CX17" s="218" t="s">
        <v>74</v>
      </c>
      <c r="CY17" s="218" t="str">
        <f>IFERROR(VLOOKUP(CX17,'ATP - RSAs'!$F:$F,1,FALSE),"#N/A")</f>
        <v>Learn More About Starting Treatment For 3L+ DLBCL After Two Or More Prior Therapies.</v>
      </c>
      <c r="CZ17" s="219" t="s">
        <v>64</v>
      </c>
      <c r="DA17" s="219" t="str">
        <f>IFERROR(VLOOKUP(CZ17,'ATP - RSAs'!$H:$H,1,FALSE),"#N/A")</f>
        <v>Any</v>
      </c>
      <c r="DB17" s="219" t="str">
        <f t="shared" si="17"/>
        <v>Learn More About Starting Treatment For 3L+ DLBCL After Two Or More Prior Therapies. Any</v>
      </c>
      <c r="DC17" s="219" t="str">
        <f>VLOOKUP(DB17,'ATP - RSAs'!$O:$O,1,FALSE)</f>
        <v>Learn More About Starting Treatment For 3L+ DLBCL After Two Or More Prior Therapies. Any</v>
      </c>
      <c r="DD17" s="218" t="s">
        <v>309</v>
      </c>
      <c r="DE17" s="218" t="s">
        <v>88</v>
      </c>
    </row>
    <row r="18" spans="1:109" ht="14.4" x14ac:dyDescent="0.3">
      <c r="A18" s="4" t="s">
        <v>46</v>
      </c>
      <c r="B18" s="4" t="str">
        <f>IFERROR(VLOOKUP(A18,'ATP - RSAs'!$A:$A,1,FALSE),"#N/A")</f>
        <v>Unbranded Condition</v>
      </c>
      <c r="C18" s="4" t="s">
        <v>90</v>
      </c>
      <c r="D18" s="4" t="str">
        <f>IFERROR(VLOOKUP(C18,'ATP - RSAs'!$B:$B,1,FALSE),"#N/A")</f>
        <v>Unbranded DLBCL Results</v>
      </c>
      <c r="E18" s="4" t="str">
        <f t="shared" si="0"/>
        <v>Unbranded Condition Unbranded DLBCL Results</v>
      </c>
      <c r="F18" s="218" t="s">
        <v>49</v>
      </c>
      <c r="G18" s="218" t="str">
        <f>IFERROR(VLOOKUP(F18,'ATP - RSAs'!$C:$C,1,FALSE),"#N/A")</f>
        <v>Treatment Option For 3L+ DLBCL</v>
      </c>
      <c r="H18" s="219">
        <v>1</v>
      </c>
      <c r="I18" s="219">
        <f>IFERROR(VLOOKUP(H18,'ATP - RSAs'!$E:$E,1,FALSE),"#N/A")</f>
        <v>1</v>
      </c>
      <c r="J18" s="219" t="str">
        <f t="shared" si="1"/>
        <v>Unbranded Condition Unbranded DLBCL Results Treatment Option For 3L+ DLBCL 1</v>
      </c>
      <c r="K18" s="219" t="str">
        <f>VLOOKUP(J18,'ATP - RSAs'!$N:$N,1,FALSE)</f>
        <v>Unbranded Condition Unbranded DLBCL Results Treatment Option For 3L+ DLBCL 1</v>
      </c>
      <c r="L18" s="218" t="s">
        <v>50</v>
      </c>
      <c r="M18" s="218" t="str">
        <f>IFERROR(VLOOKUP(L18,'ATP - RSAs'!$C:$C,1,FALSE),"#N/A")</f>
        <v>Download The Patient Brochure</v>
      </c>
      <c r="N18" s="219" t="s">
        <v>51</v>
      </c>
      <c r="O18" s="219" t="str">
        <f>IFERROR(VLOOKUP(N18,'ATP - RSAs'!$E:$E,1,FALSE),"#N/A")</f>
        <v>2 or 3</v>
      </c>
      <c r="P18" s="219" t="str">
        <f t="shared" si="2"/>
        <v>Unbranded Condition Unbranded DLBCL Results Download The Patient Brochure 2 or 3</v>
      </c>
      <c r="Q18" s="219" t="str">
        <f>VLOOKUP(P18,'ATP - RSAs'!$N:$N,1,FALSE)</f>
        <v>Unbranded Condition Unbranded DLBCL Results Download The Patient Brochure 2 or 3</v>
      </c>
      <c r="R18" s="218" t="s">
        <v>52</v>
      </c>
      <c r="S18" s="218" t="str">
        <f>IFERROR(VLOOKUP(R18,'ATP - RSAs'!$C:$C,1,FALSE),"#N/A")</f>
        <v>Resources For Patients</v>
      </c>
      <c r="T18" s="219" t="s">
        <v>51</v>
      </c>
      <c r="U18" s="219" t="str">
        <f>IFERROR(VLOOKUP(T18,'ATP - RSAs'!$E:$E,1,FALSE),"#N/A")</f>
        <v>2 or 3</v>
      </c>
      <c r="V18" s="219" t="str">
        <f t="shared" si="3"/>
        <v>Unbranded Condition Unbranded DLBCL Results Resources For Patients 2 or 3</v>
      </c>
      <c r="W18" s="219" t="str">
        <f>VLOOKUP(V18,'ATP - RSAs'!$N:$N,1,FALSE)</f>
        <v>Unbranded Condition Unbranded DLBCL Results Resources For Patients 2 or 3</v>
      </c>
      <c r="X18" s="218" t="s">
        <v>53</v>
      </c>
      <c r="Y18" s="218" t="str">
        <f>IFERROR(VLOOKUP(X18,'ATP - RSAs'!$C:$C,1,FALSE),"#N/A")</f>
        <v>Financial Assistance Options</v>
      </c>
      <c r="Z18" s="219" t="s">
        <v>51</v>
      </c>
      <c r="AA18" s="219" t="str">
        <f>IFERROR(VLOOKUP(Z18,'ATP - RSAs'!$E:$E,1,FALSE),"#N/A")</f>
        <v>2 or 3</v>
      </c>
      <c r="AB18" s="219" t="str">
        <f t="shared" si="4"/>
        <v>Unbranded Condition Unbranded DLBCL Results Financial Assistance Options 2 or 3</v>
      </c>
      <c r="AC18" s="219" t="str">
        <f>VLOOKUP(AB18,'ATP - RSAs'!$N:$N,1,FALSE)</f>
        <v>Unbranded Condition Unbranded DLBCL Results Financial Assistance Options 2 or 3</v>
      </c>
      <c r="AD18" s="218" t="s">
        <v>54</v>
      </c>
      <c r="AE18" s="218" t="str">
        <f>IFERROR(VLOOKUP(AD18,'ATP - RSAs'!$C:$C,1,FALSE),"#N/A")</f>
        <v>Important Safety Information</v>
      </c>
      <c r="AF18" s="219" t="s">
        <v>51</v>
      </c>
      <c r="AG18" s="219" t="str">
        <f>IFERROR(VLOOKUP(AF18,'ATP - RSAs'!$E:$E,1,FALSE),"#N/A")</f>
        <v>2 or 3</v>
      </c>
      <c r="AH18" s="219" t="str">
        <f t="shared" si="5"/>
        <v>Unbranded Condition Unbranded DLBCL Results Important Safety Information 2 or 3</v>
      </c>
      <c r="AI18" s="219" t="str">
        <f>VLOOKUP(AH18,'ATP - RSAs'!$N:$N,1,FALSE)</f>
        <v>Unbranded Condition Unbranded DLBCL Results Important Safety Information 2 or 3</v>
      </c>
      <c r="AJ18" s="218" t="s">
        <v>55</v>
      </c>
      <c r="AK18" s="218" t="str">
        <f>IFERROR(VLOOKUP(AJ18,'ATP - RSAs'!$C:$C,1,FALSE),"#N/A")</f>
        <v>Questions To Ask Your Doctor</v>
      </c>
      <c r="AL18" s="219" t="s">
        <v>51</v>
      </c>
      <c r="AM18" s="219" t="str">
        <f>IFERROR(VLOOKUP(AL18,'ATP - RSAs'!$E:$E,1,FALSE),"#N/A")</f>
        <v>2 or 3</v>
      </c>
      <c r="AN18" s="219" t="str">
        <f t="shared" si="6"/>
        <v>Unbranded Condition Unbranded DLBCL Results Questions To Ask Your Doctor 2 or 3</v>
      </c>
      <c r="AO18" s="219" t="str">
        <f>VLOOKUP(AN18,'ATP - RSAs'!$N:$N,1,FALSE)</f>
        <v>Unbranded Condition Unbranded DLBCL Results Questions To Ask Your Doctor 2 or 3</v>
      </c>
      <c r="AP18" s="218" t="s">
        <v>56</v>
      </c>
      <c r="AQ18" s="218" t="str">
        <f>IFERROR(VLOOKUP(AP18,'ATP - RSAs'!$C:$C,1,FALSE),"#N/A")</f>
        <v>DLBCL Infusion Therapy</v>
      </c>
      <c r="AR18" s="219" t="s">
        <v>51</v>
      </c>
      <c r="AS18" s="219" t="str">
        <f>IFERROR(VLOOKUP(AR18,'ATP - RSAs'!$E:$E,1,FALSE),"#N/A")</f>
        <v>2 or 3</v>
      </c>
      <c r="AT18" s="219" t="str">
        <f t="shared" si="7"/>
        <v>Unbranded Condition Unbranded DLBCL Results DLBCL Infusion Therapy 2 or 3</v>
      </c>
      <c r="AU18" s="219" t="str">
        <f>VLOOKUP(AT18,'ATP - RSAs'!$N:$N,1,FALSE)</f>
        <v>Unbranded Condition Unbranded DLBCL Results DLBCL Infusion Therapy 2 or 3</v>
      </c>
      <c r="AV18" s="218" t="s">
        <v>57</v>
      </c>
      <c r="AW18" s="218" t="str">
        <f>IFERROR(VLOOKUP(AV18,'ATP - RSAs'!$C:$C,1,FALSE),"#N/A")</f>
        <v>Clinical Trial Results</v>
      </c>
      <c r="AX18" s="219" t="s">
        <v>51</v>
      </c>
      <c r="AY18" s="219" t="str">
        <f>IFERROR(VLOOKUP(AX18,'ATP - RSAs'!$E:$E,1,FALSE),"#N/A")</f>
        <v>2 or 3</v>
      </c>
      <c r="AZ18" s="219" t="str">
        <f t="shared" si="8"/>
        <v>Unbranded Condition Unbranded DLBCL Results Clinical Trial Results 2 or 3</v>
      </c>
      <c r="BA18" s="219" t="str">
        <f>VLOOKUP(AZ18,'ATP - RSAs'!$N:$N,1,FALSE)</f>
        <v>Unbranded Condition Unbranded DLBCL Results Clinical Trial Results 2 or 3</v>
      </c>
      <c r="BB18" s="218" t="s">
        <v>58</v>
      </c>
      <c r="BC18" s="218" t="str">
        <f>IFERROR(VLOOKUP(BB18,'ATP - RSAs'!$C:$C,1,FALSE),"#N/A")</f>
        <v>Information For Patients</v>
      </c>
      <c r="BD18" s="219" t="s">
        <v>51</v>
      </c>
      <c r="BE18" s="219" t="str">
        <f>IFERROR(VLOOKUP(BD18,'ATP - RSAs'!$E:$E,1,FALSE),"#N/A")</f>
        <v>2 or 3</v>
      </c>
      <c r="BF18" s="219" t="str">
        <f t="shared" si="9"/>
        <v>Unbranded Condition Unbranded DLBCL Results Information For Patients 2 or 3</v>
      </c>
      <c r="BG18" s="219" t="str">
        <f>VLOOKUP(BF18,'ATP - RSAs'!$N:$N,1,FALSE)</f>
        <v>Unbranded Condition Unbranded DLBCL Results Information For Patients 2 or 3</v>
      </c>
      <c r="BH18" s="218" t="s">
        <v>59</v>
      </c>
      <c r="BI18" s="218" t="str">
        <f>IFERROR(VLOOKUP(BH18,'ATP - RSAs'!$C:$C,1,FALSE),"#N/A")</f>
        <v>Efficacy &amp; Safety Information</v>
      </c>
      <c r="BJ18" s="219" t="s">
        <v>51</v>
      </c>
      <c r="BK18" s="219" t="str">
        <f>IFERROR(VLOOKUP(BJ18,'ATP - RSAs'!$E:$E,1,FALSE),"#N/A")</f>
        <v>2 or 3</v>
      </c>
      <c r="BL18" s="219" t="str">
        <f t="shared" si="10"/>
        <v>Unbranded Condition Unbranded DLBCL Results Efficacy &amp; Safety Information 2 or 3</v>
      </c>
      <c r="BM18" s="219" t="str">
        <f>VLOOKUP(BL18,'ATP - RSAs'!$N:$N,1,FALSE)</f>
        <v>Unbranded Condition Unbranded DLBCL Results Efficacy &amp; Safety Information 2 or 3</v>
      </c>
      <c r="BN18" s="218" t="s">
        <v>72</v>
      </c>
      <c r="BO18" s="218" t="str">
        <f>IFERROR(VLOOKUP(BN18,'ATP - RSAs'!$C:$C,1,FALSE),"#N/A")</f>
        <v>Diffuse Large B-Cell Lymphoma</v>
      </c>
      <c r="BP18" s="219" t="s">
        <v>51</v>
      </c>
      <c r="BQ18" s="219" t="str">
        <f>IFERROR(VLOOKUP(BP18,'ATP - RSAs'!$E:$E,1,FALSE),"#N/A")</f>
        <v>2 or 3</v>
      </c>
      <c r="BR18" s="219" t="str">
        <f t="shared" si="11"/>
        <v>Unbranded Condition Unbranded DLBCL Results Diffuse Large B-Cell Lymphoma 2 or 3</v>
      </c>
      <c r="BS18" s="219" t="str">
        <f>VLOOKUP(BR18,'ATP - RSAs'!$N:$N,1,FALSE)</f>
        <v>Unbranded Condition Unbranded DLBCL Results Diffuse Large B-Cell Lymphoma 2 or 3</v>
      </c>
      <c r="BT18" s="218" t="s">
        <v>73</v>
      </c>
      <c r="BU18" s="218" t="str">
        <f>IFERROR(VLOOKUP(BT18,'ATP - RSAs'!$C:$C,1,FALSE),"#N/A")</f>
        <v>DLBCL Clinical Study Data</v>
      </c>
      <c r="BV18" s="219" t="s">
        <v>51</v>
      </c>
      <c r="BW18" s="219" t="str">
        <f>IFERROR(VLOOKUP(BV18,'ATP - RSAs'!$E:$E,1,FALSE),"#N/A")</f>
        <v>2 or 3</v>
      </c>
      <c r="BX18" s="219" t="str">
        <f t="shared" si="12"/>
        <v>Unbranded Condition Unbranded DLBCL Results DLBCL Clinical Study Data 2 or 3</v>
      </c>
      <c r="BY18" s="219" t="str">
        <f>VLOOKUP(BX18,'ATP - RSAs'!$N:$N,1,FALSE)</f>
        <v>Unbranded Condition Unbranded DLBCL Results DLBCL Clinical Study Data 2 or 3</v>
      </c>
      <c r="BZ18" s="218" t="s">
        <v>60</v>
      </c>
      <c r="CA18" s="218" t="str">
        <f>IFERROR(VLOOKUP(BZ18,'ATP - RSAs'!$C:$C,1,FALSE),"#N/A")</f>
        <v>About DLBCL</v>
      </c>
      <c r="CB18" s="219" t="s">
        <v>51</v>
      </c>
      <c r="CC18" s="219" t="str">
        <f>IFERROR(VLOOKUP(CB18,'ATP - RSAs'!$E:$E,1,FALSE),"#N/A")</f>
        <v>2 or 3</v>
      </c>
      <c r="CD18" s="219" t="str">
        <f t="shared" si="13"/>
        <v>Unbranded Condition Unbranded DLBCL Results About DLBCL 2 or 3</v>
      </c>
      <c r="CE18" s="219" t="str">
        <f>VLOOKUP(CD18,'ATP - RSAs'!$N:$N,1,FALSE)</f>
        <v>Unbranded Condition Unbranded DLBCL Results About DLBCL 2 or 3</v>
      </c>
      <c r="CF18" s="218" t="s">
        <v>63</v>
      </c>
      <c r="CG18" s="218" t="str">
        <f>IFERROR(VLOOKUP(CF18,'ATP - RSAs'!$F:$F,1,FALSE),"#N/A")</f>
        <v>Discover A Fixed-Duration Treatment Option For 3L+ DLBCL And View Important Safety Info.</v>
      </c>
      <c r="CH18" s="219" t="s">
        <v>64</v>
      </c>
      <c r="CI18" s="219" t="str">
        <f>IFERROR(VLOOKUP(CH18,'ATP - RSAs'!$H:$H,1,FALSE),"#N/A")</f>
        <v>Any</v>
      </c>
      <c r="CJ18" s="219" t="str">
        <f t="shared" si="14"/>
        <v>Discover A Fixed-Duration Treatment Option For 3L+ DLBCL And View Important Safety Info. Any</v>
      </c>
      <c r="CK18" s="219" t="str">
        <f>VLOOKUP(CJ18,'ATP - RSAs'!$O:$O,1,FALSE)</f>
        <v>Discover A Fixed-Duration Treatment Option For 3L+ DLBCL And View Important Safety Info. Any</v>
      </c>
      <c r="CL18" s="218" t="s">
        <v>65</v>
      </c>
      <c r="CM18" s="218" t="str">
        <f>IFERROR(VLOOKUP(CL18,'ATP - RSAs'!$F:$F,1,FALSE),"#N/A")</f>
        <v>Download The Patient Brochure To Learn More About A DLBCL Fixed-Duration Treatment.</v>
      </c>
      <c r="CN18" s="219" t="s">
        <v>64</v>
      </c>
      <c r="CO18" s="219" t="str">
        <f>IFERROR(VLOOKUP(CN18,'ATP - RSAs'!$H:$H,1,FALSE),"#N/A")</f>
        <v>Any</v>
      </c>
      <c r="CP18" s="219" t="str">
        <f t="shared" si="15"/>
        <v>Download The Patient Brochure To Learn More About A DLBCL Fixed-Duration Treatment. Any</v>
      </c>
      <c r="CQ18" s="219" t="str">
        <f>VLOOKUP(CP18,'ATP - RSAs'!$O:$O,1,FALSE)</f>
        <v>Download The Patient Brochure To Learn More About A DLBCL Fixed-Duration Treatment. Any</v>
      </c>
      <c r="CR18" s="218" t="s">
        <v>66</v>
      </c>
      <c r="CS18" s="218" t="str">
        <f>IFERROR(VLOOKUP(CR18,'ATP - RSAs'!$F:$F,1,FALSE),"#N/A")</f>
        <v>Explore An Infusion Option For Diffuse Large B Cell Lymphoma &amp; View Clinical Results.</v>
      </c>
      <c r="CT18" s="219" t="s">
        <v>64</v>
      </c>
      <c r="CU18" s="219" t="str">
        <f>IFERROR(VLOOKUP(CT18,'ATP - RSAs'!$H:$H,1,FALSE),"#N/A")</f>
        <v>Any</v>
      </c>
      <c r="CV18" s="219" t="str">
        <f t="shared" si="16"/>
        <v>Explore An Infusion Option For Diffuse Large B Cell Lymphoma &amp; View Clinical Results. Any</v>
      </c>
      <c r="CW18" s="219" t="str">
        <f>VLOOKUP(CV18,'ATP - RSAs'!$O:$O,1,FALSE)</f>
        <v>Explore An Infusion Option For Diffuse Large B Cell Lymphoma &amp; View Clinical Results. Any</v>
      </c>
      <c r="CX18" s="218" t="s">
        <v>74</v>
      </c>
      <c r="CY18" s="218" t="str">
        <f>IFERROR(VLOOKUP(CX18,'ATP - RSAs'!$F:$F,1,FALSE),"#N/A")</f>
        <v>Learn More About Starting Treatment For 3L+ DLBCL After Two Or More Prior Therapies.</v>
      </c>
      <c r="CZ18" s="219" t="s">
        <v>64</v>
      </c>
      <c r="DA18" s="219" t="str">
        <f>IFERROR(VLOOKUP(CZ18,'ATP - RSAs'!$H:$H,1,FALSE),"#N/A")</f>
        <v>Any</v>
      </c>
      <c r="DB18" s="219" t="str">
        <f t="shared" si="17"/>
        <v>Learn More About Starting Treatment For 3L+ DLBCL After Two Or More Prior Therapies. Any</v>
      </c>
      <c r="DC18" s="219" t="str">
        <f>VLOOKUP(DB18,'ATP - RSAs'!$O:$O,1,FALSE)</f>
        <v>Learn More About Starting Treatment For 3L+ DLBCL After Two Or More Prior Therapies. Any</v>
      </c>
      <c r="DD18" s="218" t="s">
        <v>309</v>
      </c>
      <c r="DE18" s="218" t="s">
        <v>91</v>
      </c>
    </row>
    <row r="19" spans="1:109" ht="14.4" x14ac:dyDescent="0.3">
      <c r="A19" s="4" t="s">
        <v>92</v>
      </c>
      <c r="B19" s="4" t="str">
        <f>IFERROR(VLOOKUP(A19,'ATP - RSAs'!$A:$A,1,FALSE),"#N/A")</f>
        <v>Unbranded Treatment</v>
      </c>
      <c r="C19" s="4" t="s">
        <v>95</v>
      </c>
      <c r="D19" s="4" t="str">
        <f>IFERROR(VLOOKUP(C19,'ATP - RSAs'!$B:$B,1,FALSE),"#N/A")</f>
        <v>Unbranded DLBCL Developments</v>
      </c>
      <c r="E19" s="4" t="str">
        <f t="shared" si="0"/>
        <v>Unbranded Treatment Unbranded DLBCL Developments</v>
      </c>
      <c r="F19" s="218" t="s">
        <v>49</v>
      </c>
      <c r="G19" s="218" t="str">
        <f>IFERROR(VLOOKUP(F19,'ATP - RSAs'!$C:$C,1,FALSE),"#N/A")</f>
        <v>Treatment Option For 3L+ DLBCL</v>
      </c>
      <c r="H19" s="219">
        <v>1</v>
      </c>
      <c r="I19" s="219">
        <f>IFERROR(VLOOKUP(H19,'ATP - RSAs'!$E:$E,1,FALSE),"#N/A")</f>
        <v>1</v>
      </c>
      <c r="J19" s="219" t="str">
        <f t="shared" si="1"/>
        <v>Unbranded Treatment Unbranded DLBCL Developments Treatment Option For 3L+ DLBCL 1</v>
      </c>
      <c r="K19" s="219" t="str">
        <f>VLOOKUP(J19,'ATP - RSAs'!$N:$N,1,FALSE)</f>
        <v>Unbranded Treatment Unbranded DLBCL Developments Treatment Option For 3L+ DLBCL 1</v>
      </c>
      <c r="L19" s="218" t="s">
        <v>50</v>
      </c>
      <c r="M19" s="218" t="str">
        <f>IFERROR(VLOOKUP(L19,'ATP - RSAs'!$C:$C,1,FALSE),"#N/A")</f>
        <v>Download The Patient Brochure</v>
      </c>
      <c r="N19" s="219" t="s">
        <v>51</v>
      </c>
      <c r="O19" s="219" t="str">
        <f>IFERROR(VLOOKUP(N19,'ATP - RSAs'!$E:$E,1,FALSE),"#N/A")</f>
        <v>2 or 3</v>
      </c>
      <c r="P19" s="219" t="str">
        <f t="shared" si="2"/>
        <v>Unbranded Treatment Unbranded DLBCL Developments Download The Patient Brochure 2 or 3</v>
      </c>
      <c r="Q19" s="219" t="str">
        <f>VLOOKUP(P19,'ATP - RSAs'!$N:$N,1,FALSE)</f>
        <v>Unbranded Treatment Unbranded DLBCL Developments Download The Patient Brochure 2 or 3</v>
      </c>
      <c r="R19" s="218" t="s">
        <v>52</v>
      </c>
      <c r="S19" s="218" t="str">
        <f>IFERROR(VLOOKUP(R19,'ATP - RSAs'!$C:$C,1,FALSE),"#N/A")</f>
        <v>Resources For Patients</v>
      </c>
      <c r="T19" s="219" t="s">
        <v>51</v>
      </c>
      <c r="U19" s="219" t="str">
        <f>IFERROR(VLOOKUP(T19,'ATP - RSAs'!$E:$E,1,FALSE),"#N/A")</f>
        <v>2 or 3</v>
      </c>
      <c r="V19" s="219" t="str">
        <f t="shared" si="3"/>
        <v>Unbranded Treatment Unbranded DLBCL Developments Resources For Patients 2 or 3</v>
      </c>
      <c r="W19" s="219" t="str">
        <f>VLOOKUP(V19,'ATP - RSAs'!$N:$N,1,FALSE)</f>
        <v>Unbranded Treatment Unbranded DLBCL Developments Resources For Patients 2 or 3</v>
      </c>
      <c r="X19" s="218" t="s">
        <v>53</v>
      </c>
      <c r="Y19" s="218" t="str">
        <f>IFERROR(VLOOKUP(X19,'ATP - RSAs'!$C:$C,1,FALSE),"#N/A")</f>
        <v>Financial Assistance Options</v>
      </c>
      <c r="Z19" s="219" t="s">
        <v>51</v>
      </c>
      <c r="AA19" s="219" t="str">
        <f>IFERROR(VLOOKUP(Z19,'ATP - RSAs'!$E:$E,1,FALSE),"#N/A")</f>
        <v>2 or 3</v>
      </c>
      <c r="AB19" s="219" t="str">
        <f t="shared" si="4"/>
        <v>Unbranded Treatment Unbranded DLBCL Developments Financial Assistance Options 2 or 3</v>
      </c>
      <c r="AC19" s="219" t="str">
        <f>VLOOKUP(AB19,'ATP - RSAs'!$N:$N,1,FALSE)</f>
        <v>Unbranded Treatment Unbranded DLBCL Developments Financial Assistance Options 2 or 3</v>
      </c>
      <c r="AD19" s="218" t="s">
        <v>54</v>
      </c>
      <c r="AE19" s="218" t="str">
        <f>IFERROR(VLOOKUP(AD19,'ATP - RSAs'!$C:$C,1,FALSE),"#N/A")</f>
        <v>Important Safety Information</v>
      </c>
      <c r="AF19" s="219" t="s">
        <v>51</v>
      </c>
      <c r="AG19" s="219" t="str">
        <f>IFERROR(VLOOKUP(AF19,'ATP - RSAs'!$E:$E,1,FALSE),"#N/A")</f>
        <v>2 or 3</v>
      </c>
      <c r="AH19" s="219" t="str">
        <f t="shared" si="5"/>
        <v>Unbranded Treatment Unbranded DLBCL Developments Important Safety Information 2 or 3</v>
      </c>
      <c r="AI19" s="219" t="str">
        <f>VLOOKUP(AH19,'ATP - RSAs'!$N:$N,1,FALSE)</f>
        <v>Unbranded Treatment Unbranded DLBCL Developments Important Safety Information 2 or 3</v>
      </c>
      <c r="AJ19" s="218" t="s">
        <v>55</v>
      </c>
      <c r="AK19" s="218" t="str">
        <f>IFERROR(VLOOKUP(AJ19,'ATP - RSAs'!$C:$C,1,FALSE),"#N/A")</f>
        <v>Questions To Ask Your Doctor</v>
      </c>
      <c r="AL19" s="219" t="s">
        <v>51</v>
      </c>
      <c r="AM19" s="219" t="str">
        <f>IFERROR(VLOOKUP(AL19,'ATP - RSAs'!$E:$E,1,FALSE),"#N/A")</f>
        <v>2 or 3</v>
      </c>
      <c r="AN19" s="219" t="str">
        <f t="shared" si="6"/>
        <v>Unbranded Treatment Unbranded DLBCL Developments Questions To Ask Your Doctor 2 or 3</v>
      </c>
      <c r="AO19" s="219" t="str">
        <f>VLOOKUP(AN19,'ATP - RSAs'!$N:$N,1,FALSE)</f>
        <v>Unbranded Treatment Unbranded DLBCL Developments Questions To Ask Your Doctor 2 or 3</v>
      </c>
      <c r="AP19" s="218" t="s">
        <v>56</v>
      </c>
      <c r="AQ19" s="218" t="str">
        <f>IFERROR(VLOOKUP(AP19,'ATP - RSAs'!$C:$C,1,FALSE),"#N/A")</f>
        <v>DLBCL Infusion Therapy</v>
      </c>
      <c r="AR19" s="219" t="s">
        <v>51</v>
      </c>
      <c r="AS19" s="219" t="str">
        <f>IFERROR(VLOOKUP(AR19,'ATP - RSAs'!$E:$E,1,FALSE),"#N/A")</f>
        <v>2 or 3</v>
      </c>
      <c r="AT19" s="219" t="str">
        <f t="shared" si="7"/>
        <v>Unbranded Treatment Unbranded DLBCL Developments DLBCL Infusion Therapy 2 or 3</v>
      </c>
      <c r="AU19" s="219" t="str">
        <f>VLOOKUP(AT19,'ATP - RSAs'!$N:$N,1,FALSE)</f>
        <v>Unbranded Treatment Unbranded DLBCL Developments DLBCL Infusion Therapy 2 or 3</v>
      </c>
      <c r="AV19" s="218" t="s">
        <v>57</v>
      </c>
      <c r="AW19" s="218" t="str">
        <f>IFERROR(VLOOKUP(AV19,'ATP - RSAs'!$C:$C,1,FALSE),"#N/A")</f>
        <v>Clinical Trial Results</v>
      </c>
      <c r="AX19" s="219" t="s">
        <v>51</v>
      </c>
      <c r="AY19" s="219" t="str">
        <f>IFERROR(VLOOKUP(AX19,'ATP - RSAs'!$E:$E,1,FALSE),"#N/A")</f>
        <v>2 or 3</v>
      </c>
      <c r="AZ19" s="219" t="str">
        <f t="shared" si="8"/>
        <v>Unbranded Treatment Unbranded DLBCL Developments Clinical Trial Results 2 or 3</v>
      </c>
      <c r="BA19" s="219" t="str">
        <f>VLOOKUP(AZ19,'ATP - RSAs'!$N:$N,1,FALSE)</f>
        <v>Unbranded Treatment Unbranded DLBCL Developments Clinical Trial Results 2 or 3</v>
      </c>
      <c r="BB19" s="218" t="s">
        <v>58</v>
      </c>
      <c r="BC19" s="218" t="str">
        <f>IFERROR(VLOOKUP(BB19,'ATP - RSAs'!$C:$C,1,FALSE),"#N/A")</f>
        <v>Information For Patients</v>
      </c>
      <c r="BD19" s="219" t="s">
        <v>51</v>
      </c>
      <c r="BE19" s="219" t="str">
        <f>IFERROR(VLOOKUP(BD19,'ATP - RSAs'!$E:$E,1,FALSE),"#N/A")</f>
        <v>2 or 3</v>
      </c>
      <c r="BF19" s="219" t="str">
        <f t="shared" si="9"/>
        <v>Unbranded Treatment Unbranded DLBCL Developments Information For Patients 2 or 3</v>
      </c>
      <c r="BG19" s="219" t="str">
        <f>VLOOKUP(BF19,'ATP - RSAs'!$N:$N,1,FALSE)</f>
        <v>Unbranded Treatment Unbranded DLBCL Developments Information For Patients 2 or 3</v>
      </c>
      <c r="BH19" s="218" t="s">
        <v>59</v>
      </c>
      <c r="BI19" s="218" t="str">
        <f>IFERROR(VLOOKUP(BH19,'ATP - RSAs'!$C:$C,1,FALSE),"#N/A")</f>
        <v>Efficacy &amp; Safety Information</v>
      </c>
      <c r="BJ19" s="219" t="s">
        <v>51</v>
      </c>
      <c r="BK19" s="219" t="str">
        <f>IFERROR(VLOOKUP(BJ19,'ATP - RSAs'!$E:$E,1,FALSE),"#N/A")</f>
        <v>2 or 3</v>
      </c>
      <c r="BL19" s="219" t="str">
        <f t="shared" si="10"/>
        <v>Unbranded Treatment Unbranded DLBCL Developments Efficacy &amp; Safety Information 2 or 3</v>
      </c>
      <c r="BM19" s="219" t="str">
        <f>VLOOKUP(BL19,'ATP - RSAs'!$N:$N,1,FALSE)</f>
        <v>Unbranded Treatment Unbranded DLBCL Developments Efficacy &amp; Safety Information 2 or 3</v>
      </c>
      <c r="BN19" s="218" t="s">
        <v>72</v>
      </c>
      <c r="BO19" s="218" t="str">
        <f>IFERROR(VLOOKUP(BN19,'ATP - RSAs'!$C:$C,1,FALSE),"#N/A")</f>
        <v>Diffuse Large B-Cell Lymphoma</v>
      </c>
      <c r="BP19" s="219" t="s">
        <v>51</v>
      </c>
      <c r="BQ19" s="219" t="str">
        <f>IFERROR(VLOOKUP(BP19,'ATP - RSAs'!$E:$E,1,FALSE),"#N/A")</f>
        <v>2 or 3</v>
      </c>
      <c r="BR19" s="219" t="str">
        <f t="shared" si="11"/>
        <v>Unbranded Treatment Unbranded DLBCL Developments Diffuse Large B-Cell Lymphoma 2 or 3</v>
      </c>
      <c r="BS19" s="219" t="str">
        <f>VLOOKUP(BR19,'ATP - RSAs'!$N:$N,1,FALSE)</f>
        <v>Unbranded Treatment Unbranded DLBCL Developments Diffuse Large B-Cell Lymphoma 2 or 3</v>
      </c>
      <c r="BT19" s="218" t="s">
        <v>73</v>
      </c>
      <c r="BU19" s="218" t="str">
        <f>IFERROR(VLOOKUP(BT19,'ATP - RSAs'!$C:$C,1,FALSE),"#N/A")</f>
        <v>DLBCL Clinical Study Data</v>
      </c>
      <c r="BV19" s="219" t="s">
        <v>51</v>
      </c>
      <c r="BW19" s="219" t="str">
        <f>IFERROR(VLOOKUP(BV19,'ATP - RSAs'!$E:$E,1,FALSE),"#N/A")</f>
        <v>2 or 3</v>
      </c>
      <c r="BX19" s="219" t="str">
        <f t="shared" si="12"/>
        <v>Unbranded Treatment Unbranded DLBCL Developments DLBCL Clinical Study Data 2 or 3</v>
      </c>
      <c r="BY19" s="219" t="str">
        <f>VLOOKUP(BX19,'ATP - RSAs'!$N:$N,1,FALSE)</f>
        <v>Unbranded Treatment Unbranded DLBCL Developments DLBCL Clinical Study Data 2 or 3</v>
      </c>
      <c r="BZ19" s="218" t="s">
        <v>60</v>
      </c>
      <c r="CA19" s="218" t="str">
        <f>IFERROR(VLOOKUP(BZ19,'ATP - RSAs'!$C:$C,1,FALSE),"#N/A")</f>
        <v>About DLBCL</v>
      </c>
      <c r="CB19" s="219" t="s">
        <v>51</v>
      </c>
      <c r="CC19" s="219" t="str">
        <f>IFERROR(VLOOKUP(CB19,'ATP - RSAs'!$E:$E,1,FALSE),"#N/A")</f>
        <v>2 or 3</v>
      </c>
      <c r="CD19" s="219" t="str">
        <f t="shared" si="13"/>
        <v>Unbranded Treatment Unbranded DLBCL Developments About DLBCL 2 or 3</v>
      </c>
      <c r="CE19" s="219" t="str">
        <f>VLOOKUP(CD19,'ATP - RSAs'!$N:$N,1,FALSE)</f>
        <v>Unbranded Treatment Unbranded DLBCL Developments About DLBCL 2 or 3</v>
      </c>
      <c r="CF19" s="218" t="s">
        <v>63</v>
      </c>
      <c r="CG19" s="218" t="str">
        <f>IFERROR(VLOOKUP(CF19,'ATP - RSAs'!$F:$F,1,FALSE),"#N/A")</f>
        <v>Discover A Fixed-Duration Treatment Option For 3L+ DLBCL And View Important Safety Info.</v>
      </c>
      <c r="CH19" s="219" t="s">
        <v>64</v>
      </c>
      <c r="CI19" s="219" t="str">
        <f>IFERROR(VLOOKUP(CH19,'ATP - RSAs'!$H:$H,1,FALSE),"#N/A")</f>
        <v>Any</v>
      </c>
      <c r="CJ19" s="219" t="str">
        <f t="shared" si="14"/>
        <v>Discover A Fixed-Duration Treatment Option For 3L+ DLBCL And View Important Safety Info. Any</v>
      </c>
      <c r="CK19" s="219" t="str">
        <f>VLOOKUP(CJ19,'ATP - RSAs'!$O:$O,1,FALSE)</f>
        <v>Discover A Fixed-Duration Treatment Option For 3L+ DLBCL And View Important Safety Info. Any</v>
      </c>
      <c r="CL19" s="218" t="s">
        <v>65</v>
      </c>
      <c r="CM19" s="218" t="str">
        <f>IFERROR(VLOOKUP(CL19,'ATP - RSAs'!$F:$F,1,FALSE),"#N/A")</f>
        <v>Download The Patient Brochure To Learn More About A DLBCL Fixed-Duration Treatment.</v>
      </c>
      <c r="CN19" s="219" t="s">
        <v>64</v>
      </c>
      <c r="CO19" s="219" t="str">
        <f>IFERROR(VLOOKUP(CN19,'ATP - RSAs'!$H:$H,1,FALSE),"#N/A")</f>
        <v>Any</v>
      </c>
      <c r="CP19" s="219" t="str">
        <f t="shared" si="15"/>
        <v>Download The Patient Brochure To Learn More About A DLBCL Fixed-Duration Treatment. Any</v>
      </c>
      <c r="CQ19" s="219" t="str">
        <f>VLOOKUP(CP19,'ATP - RSAs'!$O:$O,1,FALSE)</f>
        <v>Download The Patient Brochure To Learn More About A DLBCL Fixed-Duration Treatment. Any</v>
      </c>
      <c r="CR19" s="218" t="s">
        <v>66</v>
      </c>
      <c r="CS19" s="218" t="str">
        <f>IFERROR(VLOOKUP(CR19,'ATP - RSAs'!$F:$F,1,FALSE),"#N/A")</f>
        <v>Explore An Infusion Option For Diffuse Large B Cell Lymphoma &amp; View Clinical Results.</v>
      </c>
      <c r="CT19" s="219" t="s">
        <v>64</v>
      </c>
      <c r="CU19" s="219" t="str">
        <f>IFERROR(VLOOKUP(CT19,'ATP - RSAs'!$H:$H,1,FALSE),"#N/A")</f>
        <v>Any</v>
      </c>
      <c r="CV19" s="219" t="str">
        <f t="shared" si="16"/>
        <v>Explore An Infusion Option For Diffuse Large B Cell Lymphoma &amp; View Clinical Results. Any</v>
      </c>
      <c r="CW19" s="219" t="str">
        <f>VLOOKUP(CV19,'ATP - RSAs'!$O:$O,1,FALSE)</f>
        <v>Explore An Infusion Option For Diffuse Large B Cell Lymphoma &amp; View Clinical Results. Any</v>
      </c>
      <c r="CX19" s="218" t="s">
        <v>74</v>
      </c>
      <c r="CY19" s="218" t="str">
        <f>IFERROR(VLOOKUP(CX19,'ATP - RSAs'!$F:$F,1,FALSE),"#N/A")</f>
        <v>Learn More About Starting Treatment For 3L+ DLBCL After Two Or More Prior Therapies.</v>
      </c>
      <c r="CZ19" s="219" t="s">
        <v>64</v>
      </c>
      <c r="DA19" s="219" t="str">
        <f>IFERROR(VLOOKUP(CZ19,'ATP - RSAs'!$H:$H,1,FALSE),"#N/A")</f>
        <v>Any</v>
      </c>
      <c r="DB19" s="219" t="str">
        <f t="shared" si="17"/>
        <v>Learn More About Starting Treatment For 3L+ DLBCL After Two Or More Prior Therapies. Any</v>
      </c>
      <c r="DC19" s="219" t="str">
        <f>VLOOKUP(DB19,'ATP - RSAs'!$O:$O,1,FALSE)</f>
        <v>Learn More About Starting Treatment For 3L+ DLBCL After Two Or More Prior Therapies. Any</v>
      </c>
      <c r="DD19" s="218" t="s">
        <v>309</v>
      </c>
      <c r="DE19" s="218" t="s">
        <v>96</v>
      </c>
    </row>
    <row r="20" spans="1:109" ht="14.4" x14ac:dyDescent="0.3">
      <c r="A20" s="4" t="s">
        <v>92</v>
      </c>
      <c r="B20" s="4" t="str">
        <f>IFERROR(VLOOKUP(A20,'ATP - RSAs'!$A:$A,1,FALSE),"#N/A")</f>
        <v>Unbranded Treatment</v>
      </c>
      <c r="C20" s="4" t="s">
        <v>98</v>
      </c>
      <c r="D20" s="4" t="str">
        <f>IFERROR(VLOOKUP(C20,'ATP - RSAs'!$B:$B,1,FALSE),"#N/A")</f>
        <v>Unbranded DLBCL Treatment</v>
      </c>
      <c r="E20" s="4" t="str">
        <f t="shared" si="0"/>
        <v>Unbranded Treatment Unbranded DLBCL Treatment</v>
      </c>
      <c r="F20" s="218" t="s">
        <v>49</v>
      </c>
      <c r="G20" s="218" t="str">
        <f>IFERROR(VLOOKUP(F20,'ATP - RSAs'!$C:$C,1,FALSE),"#N/A")</f>
        <v>Treatment Option For 3L+ DLBCL</v>
      </c>
      <c r="H20" s="219">
        <v>1</v>
      </c>
      <c r="I20" s="219">
        <f>IFERROR(VLOOKUP(H20,'ATP - RSAs'!$E:$E,1,FALSE),"#N/A")</f>
        <v>1</v>
      </c>
      <c r="J20" s="219" t="str">
        <f t="shared" si="1"/>
        <v>Unbranded Treatment Unbranded DLBCL Treatment Treatment Option For 3L+ DLBCL 1</v>
      </c>
      <c r="K20" s="219" t="str">
        <f>VLOOKUP(J20,'ATP - RSAs'!$N:$N,1,FALSE)</f>
        <v>Unbranded Treatment Unbranded DLBCL Treatment Treatment Option For 3L+ DLBCL 1</v>
      </c>
      <c r="L20" s="218" t="s">
        <v>50</v>
      </c>
      <c r="M20" s="218" t="str">
        <f>IFERROR(VLOOKUP(L20,'ATP - RSAs'!$C:$C,1,FALSE),"#N/A")</f>
        <v>Download The Patient Brochure</v>
      </c>
      <c r="N20" s="219" t="s">
        <v>51</v>
      </c>
      <c r="O20" s="219" t="str">
        <f>IFERROR(VLOOKUP(N20,'ATP - RSAs'!$E:$E,1,FALSE),"#N/A")</f>
        <v>2 or 3</v>
      </c>
      <c r="P20" s="219" t="str">
        <f t="shared" si="2"/>
        <v>Unbranded Treatment Unbranded DLBCL Treatment Download The Patient Brochure 2 or 3</v>
      </c>
      <c r="Q20" s="219" t="str">
        <f>VLOOKUP(P20,'ATP - RSAs'!$N:$N,1,FALSE)</f>
        <v>Unbranded Treatment Unbranded DLBCL Treatment Download The Patient Brochure 2 or 3</v>
      </c>
      <c r="R20" s="218" t="s">
        <v>52</v>
      </c>
      <c r="S20" s="218" t="str">
        <f>IFERROR(VLOOKUP(R20,'ATP - RSAs'!$C:$C,1,FALSE),"#N/A")</f>
        <v>Resources For Patients</v>
      </c>
      <c r="T20" s="219" t="s">
        <v>51</v>
      </c>
      <c r="U20" s="219" t="str">
        <f>IFERROR(VLOOKUP(T20,'ATP - RSAs'!$E:$E,1,FALSE),"#N/A")</f>
        <v>2 or 3</v>
      </c>
      <c r="V20" s="219" t="str">
        <f t="shared" si="3"/>
        <v>Unbranded Treatment Unbranded DLBCL Treatment Resources For Patients 2 or 3</v>
      </c>
      <c r="W20" s="219" t="str">
        <f>VLOOKUP(V20,'ATP - RSAs'!$N:$N,1,FALSE)</f>
        <v>Unbranded Treatment Unbranded DLBCL Treatment Resources For Patients 2 or 3</v>
      </c>
      <c r="X20" s="218" t="s">
        <v>53</v>
      </c>
      <c r="Y20" s="218" t="str">
        <f>IFERROR(VLOOKUP(X20,'ATP - RSAs'!$C:$C,1,FALSE),"#N/A")</f>
        <v>Financial Assistance Options</v>
      </c>
      <c r="Z20" s="219" t="s">
        <v>51</v>
      </c>
      <c r="AA20" s="219" t="str">
        <f>IFERROR(VLOOKUP(Z20,'ATP - RSAs'!$E:$E,1,FALSE),"#N/A")</f>
        <v>2 or 3</v>
      </c>
      <c r="AB20" s="219" t="str">
        <f t="shared" si="4"/>
        <v>Unbranded Treatment Unbranded DLBCL Treatment Financial Assistance Options 2 or 3</v>
      </c>
      <c r="AC20" s="219" t="str">
        <f>VLOOKUP(AB20,'ATP - RSAs'!$N:$N,1,FALSE)</f>
        <v>Unbranded Treatment Unbranded DLBCL Treatment Financial Assistance Options 2 or 3</v>
      </c>
      <c r="AD20" s="218" t="s">
        <v>54</v>
      </c>
      <c r="AE20" s="218" t="str">
        <f>IFERROR(VLOOKUP(AD20,'ATP - RSAs'!$C:$C,1,FALSE),"#N/A")</f>
        <v>Important Safety Information</v>
      </c>
      <c r="AF20" s="219" t="s">
        <v>51</v>
      </c>
      <c r="AG20" s="219" t="str">
        <f>IFERROR(VLOOKUP(AF20,'ATP - RSAs'!$E:$E,1,FALSE),"#N/A")</f>
        <v>2 or 3</v>
      </c>
      <c r="AH20" s="219" t="str">
        <f t="shared" si="5"/>
        <v>Unbranded Treatment Unbranded DLBCL Treatment Important Safety Information 2 or 3</v>
      </c>
      <c r="AI20" s="219" t="str">
        <f>VLOOKUP(AH20,'ATP - RSAs'!$N:$N,1,FALSE)</f>
        <v>Unbranded Treatment Unbranded DLBCL Treatment Important Safety Information 2 or 3</v>
      </c>
      <c r="AJ20" s="218" t="s">
        <v>55</v>
      </c>
      <c r="AK20" s="218" t="str">
        <f>IFERROR(VLOOKUP(AJ20,'ATP - RSAs'!$C:$C,1,FALSE),"#N/A")</f>
        <v>Questions To Ask Your Doctor</v>
      </c>
      <c r="AL20" s="219" t="s">
        <v>51</v>
      </c>
      <c r="AM20" s="219" t="str">
        <f>IFERROR(VLOOKUP(AL20,'ATP - RSAs'!$E:$E,1,FALSE),"#N/A")</f>
        <v>2 or 3</v>
      </c>
      <c r="AN20" s="219" t="str">
        <f t="shared" si="6"/>
        <v>Unbranded Treatment Unbranded DLBCL Treatment Questions To Ask Your Doctor 2 or 3</v>
      </c>
      <c r="AO20" s="219" t="str">
        <f>VLOOKUP(AN20,'ATP - RSAs'!$N:$N,1,FALSE)</f>
        <v>Unbranded Treatment Unbranded DLBCL Treatment Questions To Ask Your Doctor 2 or 3</v>
      </c>
      <c r="AP20" s="218" t="s">
        <v>56</v>
      </c>
      <c r="AQ20" s="218" t="str">
        <f>IFERROR(VLOOKUP(AP20,'ATP - RSAs'!$C:$C,1,FALSE),"#N/A")</f>
        <v>DLBCL Infusion Therapy</v>
      </c>
      <c r="AR20" s="219" t="s">
        <v>51</v>
      </c>
      <c r="AS20" s="219" t="str">
        <f>IFERROR(VLOOKUP(AR20,'ATP - RSAs'!$E:$E,1,FALSE),"#N/A")</f>
        <v>2 or 3</v>
      </c>
      <c r="AT20" s="219" t="str">
        <f t="shared" si="7"/>
        <v>Unbranded Treatment Unbranded DLBCL Treatment DLBCL Infusion Therapy 2 or 3</v>
      </c>
      <c r="AU20" s="219" t="str">
        <f>VLOOKUP(AT20,'ATP - RSAs'!$N:$N,1,FALSE)</f>
        <v>Unbranded Treatment Unbranded DLBCL Treatment DLBCL Infusion Therapy 2 or 3</v>
      </c>
      <c r="AV20" s="218" t="s">
        <v>57</v>
      </c>
      <c r="AW20" s="218" t="str">
        <f>IFERROR(VLOOKUP(AV20,'ATP - RSAs'!$C:$C,1,FALSE),"#N/A")</f>
        <v>Clinical Trial Results</v>
      </c>
      <c r="AX20" s="219" t="s">
        <v>51</v>
      </c>
      <c r="AY20" s="219" t="str">
        <f>IFERROR(VLOOKUP(AX20,'ATP - RSAs'!$E:$E,1,FALSE),"#N/A")</f>
        <v>2 or 3</v>
      </c>
      <c r="AZ20" s="219" t="str">
        <f t="shared" si="8"/>
        <v>Unbranded Treatment Unbranded DLBCL Treatment Clinical Trial Results 2 or 3</v>
      </c>
      <c r="BA20" s="219" t="str">
        <f>VLOOKUP(AZ20,'ATP - RSAs'!$N:$N,1,FALSE)</f>
        <v>Unbranded Treatment Unbranded DLBCL Treatment Clinical Trial Results 2 or 3</v>
      </c>
      <c r="BB20" s="218" t="s">
        <v>58</v>
      </c>
      <c r="BC20" s="218" t="str">
        <f>IFERROR(VLOOKUP(BB20,'ATP - RSAs'!$C:$C,1,FALSE),"#N/A")</f>
        <v>Information For Patients</v>
      </c>
      <c r="BD20" s="219" t="s">
        <v>51</v>
      </c>
      <c r="BE20" s="219" t="str">
        <f>IFERROR(VLOOKUP(BD20,'ATP - RSAs'!$E:$E,1,FALSE),"#N/A")</f>
        <v>2 or 3</v>
      </c>
      <c r="BF20" s="219" t="str">
        <f t="shared" si="9"/>
        <v>Unbranded Treatment Unbranded DLBCL Treatment Information For Patients 2 or 3</v>
      </c>
      <c r="BG20" s="219" t="str">
        <f>VLOOKUP(BF20,'ATP - RSAs'!$N:$N,1,FALSE)</f>
        <v>Unbranded Treatment Unbranded DLBCL Treatment Information For Patients 2 or 3</v>
      </c>
      <c r="BH20" s="218" t="s">
        <v>59</v>
      </c>
      <c r="BI20" s="218" t="str">
        <f>IFERROR(VLOOKUP(BH20,'ATP - RSAs'!$C:$C,1,FALSE),"#N/A")</f>
        <v>Efficacy &amp; Safety Information</v>
      </c>
      <c r="BJ20" s="219" t="s">
        <v>51</v>
      </c>
      <c r="BK20" s="219" t="str">
        <f>IFERROR(VLOOKUP(BJ20,'ATP - RSAs'!$E:$E,1,FALSE),"#N/A")</f>
        <v>2 or 3</v>
      </c>
      <c r="BL20" s="219" t="str">
        <f t="shared" si="10"/>
        <v>Unbranded Treatment Unbranded DLBCL Treatment Efficacy &amp; Safety Information 2 or 3</v>
      </c>
      <c r="BM20" s="219" t="str">
        <f>VLOOKUP(BL20,'ATP - RSAs'!$N:$N,1,FALSE)</f>
        <v>Unbranded Treatment Unbranded DLBCL Treatment Efficacy &amp; Safety Information 2 or 3</v>
      </c>
      <c r="BN20" s="218" t="s">
        <v>99</v>
      </c>
      <c r="BO20" s="218" t="str">
        <f>IFERROR(VLOOKUP(BN20,'ATP - RSAs'!$C:$C,1,FALSE),"#N/A")</f>
        <v>DLBCL Symptoms</v>
      </c>
      <c r="BP20" s="219" t="s">
        <v>51</v>
      </c>
      <c r="BQ20" s="219" t="str">
        <f>IFERROR(VLOOKUP(BP20,'ATP - RSAs'!$E:$E,1,FALSE),"#N/A")</f>
        <v>2 or 3</v>
      </c>
      <c r="BR20" s="219" t="str">
        <f t="shared" si="11"/>
        <v>Unbranded Treatment Unbranded DLBCL Treatment DLBCL Symptoms 2 or 3</v>
      </c>
      <c r="BS20" s="219" t="str">
        <f>VLOOKUP(BR20,'ATP - RSAs'!$N:$N,1,FALSE)</f>
        <v>Unbranded Treatment Unbranded DLBCL Treatment DLBCL Symptoms 2 or 3</v>
      </c>
      <c r="BT20" s="218" t="s">
        <v>100</v>
      </c>
      <c r="BU20" s="218" t="str">
        <f>IFERROR(VLOOKUP(BT20,'ATP - RSAs'!$C:$C,1,FALSE),"#N/A")</f>
        <v>3L+ DLBCL Treatment Option</v>
      </c>
      <c r="BV20" s="219" t="s">
        <v>51</v>
      </c>
      <c r="BW20" s="219" t="str">
        <f>IFERROR(VLOOKUP(BV20,'ATP - RSAs'!$E:$E,1,FALSE),"#N/A")</f>
        <v>2 or 3</v>
      </c>
      <c r="BX20" s="219" t="str">
        <f t="shared" si="12"/>
        <v>Unbranded Treatment Unbranded DLBCL Treatment 3L+ DLBCL Treatment Option 2 or 3</v>
      </c>
      <c r="BY20" s="219" t="str">
        <f>VLOOKUP(BX20,'ATP - RSAs'!$N:$N,1,FALSE)</f>
        <v>Unbranded Treatment Unbranded DLBCL Treatment 3L+ DLBCL Treatment Option 2 or 3</v>
      </c>
      <c r="BZ20" s="218" t="s">
        <v>72</v>
      </c>
      <c r="CA20" s="218" t="str">
        <f>IFERROR(VLOOKUP(BZ20,'ATP - RSAs'!$C:$C,1,FALSE),"#N/A")</f>
        <v>Diffuse Large B-Cell Lymphoma</v>
      </c>
      <c r="CB20" s="219" t="s">
        <v>51</v>
      </c>
      <c r="CC20" s="219" t="str">
        <f>IFERROR(VLOOKUP(CB20,'ATP - RSAs'!$E:$E,1,FALSE),"#N/A")</f>
        <v>2 or 3</v>
      </c>
      <c r="CD20" s="219" t="str">
        <f t="shared" si="13"/>
        <v>Unbranded Treatment Unbranded DLBCL Treatment Diffuse Large B-Cell Lymphoma 2 or 3</v>
      </c>
      <c r="CE20" s="219" t="str">
        <f>VLOOKUP(CD20,'ATP - RSAs'!$N:$N,1,FALSE)</f>
        <v>Unbranded Treatment Unbranded DLBCL Treatment Diffuse Large B-Cell Lymphoma 2 or 3</v>
      </c>
      <c r="CF20" s="218" t="s">
        <v>63</v>
      </c>
      <c r="CG20" s="218" t="str">
        <f>IFERROR(VLOOKUP(CF20,'ATP - RSAs'!$F:$F,1,FALSE),"#N/A")</f>
        <v>Discover A Fixed-Duration Treatment Option For 3L+ DLBCL And View Important Safety Info.</v>
      </c>
      <c r="CH20" s="219" t="s">
        <v>64</v>
      </c>
      <c r="CI20" s="219" t="str">
        <f>IFERROR(VLOOKUP(CH20,'ATP - RSAs'!$H:$H,1,FALSE),"#N/A")</f>
        <v>Any</v>
      </c>
      <c r="CJ20" s="219" t="str">
        <f t="shared" si="14"/>
        <v>Discover A Fixed-Duration Treatment Option For 3L+ DLBCL And View Important Safety Info. Any</v>
      </c>
      <c r="CK20" s="219" t="str">
        <f>VLOOKUP(CJ20,'ATP - RSAs'!$O:$O,1,FALSE)</f>
        <v>Discover A Fixed-Duration Treatment Option For 3L+ DLBCL And View Important Safety Info. Any</v>
      </c>
      <c r="CL20" s="218" t="s">
        <v>65</v>
      </c>
      <c r="CM20" s="218" t="str">
        <f>IFERROR(VLOOKUP(CL20,'ATP - RSAs'!$F:$F,1,FALSE),"#N/A")</f>
        <v>Download The Patient Brochure To Learn More About A DLBCL Fixed-Duration Treatment.</v>
      </c>
      <c r="CN20" s="219" t="s">
        <v>64</v>
      </c>
      <c r="CO20" s="219" t="str">
        <f>IFERROR(VLOOKUP(CN20,'ATP - RSAs'!$H:$H,1,FALSE),"#N/A")</f>
        <v>Any</v>
      </c>
      <c r="CP20" s="219" t="str">
        <f t="shared" si="15"/>
        <v>Download The Patient Brochure To Learn More About A DLBCL Fixed-Duration Treatment. Any</v>
      </c>
      <c r="CQ20" s="219" t="str">
        <f>VLOOKUP(CP20,'ATP - RSAs'!$O:$O,1,FALSE)</f>
        <v>Download The Patient Brochure To Learn More About A DLBCL Fixed-Duration Treatment. Any</v>
      </c>
      <c r="CR20" s="218" t="s">
        <v>66</v>
      </c>
      <c r="CS20" s="218" t="str">
        <f>IFERROR(VLOOKUP(CR20,'ATP - RSAs'!$F:$F,1,FALSE),"#N/A")</f>
        <v>Explore An Infusion Option For Diffuse Large B Cell Lymphoma &amp; View Clinical Results.</v>
      </c>
      <c r="CT20" s="219" t="s">
        <v>64</v>
      </c>
      <c r="CU20" s="219" t="str">
        <f>IFERROR(VLOOKUP(CT20,'ATP - RSAs'!$H:$H,1,FALSE),"#N/A")</f>
        <v>Any</v>
      </c>
      <c r="CV20" s="219" t="str">
        <f t="shared" si="16"/>
        <v>Explore An Infusion Option For Diffuse Large B Cell Lymphoma &amp; View Clinical Results. Any</v>
      </c>
      <c r="CW20" s="219" t="str">
        <f>VLOOKUP(CV20,'ATP - RSAs'!$O:$O,1,FALSE)</f>
        <v>Explore An Infusion Option For Diffuse Large B Cell Lymphoma &amp; View Clinical Results. Any</v>
      </c>
      <c r="CX20" s="218" t="s">
        <v>74</v>
      </c>
      <c r="CY20" s="218" t="str">
        <f>IFERROR(VLOOKUP(CX20,'ATP - RSAs'!$F:$F,1,FALSE),"#N/A")</f>
        <v>Learn More About Starting Treatment For 3L+ DLBCL After Two Or More Prior Therapies.</v>
      </c>
      <c r="CZ20" s="219" t="s">
        <v>64</v>
      </c>
      <c r="DA20" s="219" t="str">
        <f>IFERROR(VLOOKUP(CZ20,'ATP - RSAs'!$H:$H,1,FALSE),"#N/A")</f>
        <v>Any</v>
      </c>
      <c r="DB20" s="219" t="str">
        <f t="shared" si="17"/>
        <v>Learn More About Starting Treatment For 3L+ DLBCL After Two Or More Prior Therapies. Any</v>
      </c>
      <c r="DC20" s="219" t="str">
        <f>VLOOKUP(DB20,'ATP - RSAs'!$O:$O,1,FALSE)</f>
        <v>Learn More About Starting Treatment For 3L+ DLBCL After Two Or More Prior Therapies. Any</v>
      </c>
      <c r="DD20" s="218" t="s">
        <v>309</v>
      </c>
      <c r="DE20" s="218" t="s">
        <v>101</v>
      </c>
    </row>
    <row r="21" spans="1:109" ht="15.75" customHeight="1" x14ac:dyDescent="0.3">
      <c r="A21" s="4" t="s">
        <v>92</v>
      </c>
      <c r="B21" s="4" t="str">
        <f>IFERROR(VLOOKUP(A21,'ATP - RSAs'!$A:$A,1,FALSE),"#N/A")</f>
        <v>Unbranded Treatment</v>
      </c>
      <c r="C21" s="4" t="s">
        <v>103</v>
      </c>
      <c r="D21" s="4" t="str">
        <f>IFERROR(VLOOKUP(C21,'ATP - RSAs'!$B:$B,1,FALSE),"#N/A")</f>
        <v>Unbranded DLBCL Medication</v>
      </c>
      <c r="E21" s="4" t="str">
        <f t="shared" si="0"/>
        <v>Unbranded Treatment Unbranded DLBCL Medication</v>
      </c>
      <c r="F21" s="218" t="s">
        <v>104</v>
      </c>
      <c r="G21" s="218" t="str">
        <f>IFERROR(VLOOKUP(F21,'ATP - RSAs'!$C:$C,1,FALSE),"#N/A")</f>
        <v>Medication For 3L+ DLBCL</v>
      </c>
      <c r="H21" s="219">
        <v>1</v>
      </c>
      <c r="I21" s="219">
        <f>IFERROR(VLOOKUP(H21,'ATP - RSAs'!$E:$E,1,FALSE),"#N/A")</f>
        <v>1</v>
      </c>
      <c r="J21" s="219" t="str">
        <f t="shared" si="1"/>
        <v>Unbranded Treatment Unbranded DLBCL Medication Medication For 3L+ DLBCL 1</v>
      </c>
      <c r="K21" s="219" t="str">
        <f>VLOOKUP(J21,'ATP - RSAs'!$N:$N,1,FALSE)</f>
        <v>Unbranded Treatment Unbranded DLBCL Medication Medication For 3L+ DLBCL 1</v>
      </c>
      <c r="L21" s="218" t="s">
        <v>50</v>
      </c>
      <c r="M21" s="218" t="str">
        <f>IFERROR(VLOOKUP(L21,'ATP - RSAs'!$C:$C,1,FALSE),"#N/A")</f>
        <v>Download The Patient Brochure</v>
      </c>
      <c r="N21" s="219" t="s">
        <v>51</v>
      </c>
      <c r="O21" s="219" t="str">
        <f>IFERROR(VLOOKUP(N21,'ATP - RSAs'!$E:$E,1,FALSE),"#N/A")</f>
        <v>2 or 3</v>
      </c>
      <c r="P21" s="219" t="str">
        <f t="shared" si="2"/>
        <v>Unbranded Treatment Unbranded DLBCL Medication Download The Patient Brochure 2 or 3</v>
      </c>
      <c r="Q21" s="219" t="str">
        <f>VLOOKUP(P21,'ATP - RSAs'!$N:$N,1,FALSE)</f>
        <v>Unbranded Treatment Unbranded DLBCL Medication Download The Patient Brochure 2 or 3</v>
      </c>
      <c r="R21" s="218" t="s">
        <v>52</v>
      </c>
      <c r="S21" s="218" t="str">
        <f>IFERROR(VLOOKUP(R21,'ATP - RSAs'!$C:$C,1,FALSE),"#N/A")</f>
        <v>Resources For Patients</v>
      </c>
      <c r="T21" s="219" t="s">
        <v>51</v>
      </c>
      <c r="U21" s="219" t="str">
        <f>IFERROR(VLOOKUP(T21,'ATP - RSAs'!$E:$E,1,FALSE),"#N/A")</f>
        <v>2 or 3</v>
      </c>
      <c r="V21" s="219" t="str">
        <f t="shared" si="3"/>
        <v>Unbranded Treatment Unbranded DLBCL Medication Resources For Patients 2 or 3</v>
      </c>
      <c r="W21" s="219" t="str">
        <f>VLOOKUP(V21,'ATP - RSAs'!$N:$N,1,FALSE)</f>
        <v>Unbranded Treatment Unbranded DLBCL Medication Resources For Patients 2 or 3</v>
      </c>
      <c r="X21" s="218" t="s">
        <v>53</v>
      </c>
      <c r="Y21" s="218" t="str">
        <f>IFERROR(VLOOKUP(X21,'ATP - RSAs'!$C:$C,1,FALSE),"#N/A")</f>
        <v>Financial Assistance Options</v>
      </c>
      <c r="Z21" s="219" t="s">
        <v>51</v>
      </c>
      <c r="AA21" s="219" t="str">
        <f>IFERROR(VLOOKUP(Z21,'ATP - RSAs'!$E:$E,1,FALSE),"#N/A")</f>
        <v>2 or 3</v>
      </c>
      <c r="AB21" s="219" t="str">
        <f t="shared" si="4"/>
        <v>Unbranded Treatment Unbranded DLBCL Medication Financial Assistance Options 2 or 3</v>
      </c>
      <c r="AC21" s="219" t="str">
        <f>VLOOKUP(AB21,'ATP - RSAs'!$N:$N,1,FALSE)</f>
        <v>Unbranded Treatment Unbranded DLBCL Medication Financial Assistance Options 2 or 3</v>
      </c>
      <c r="AD21" s="218" t="s">
        <v>54</v>
      </c>
      <c r="AE21" s="218" t="str">
        <f>IFERROR(VLOOKUP(AD21,'ATP - RSAs'!$C:$C,1,FALSE),"#N/A")</f>
        <v>Important Safety Information</v>
      </c>
      <c r="AF21" s="219" t="s">
        <v>51</v>
      </c>
      <c r="AG21" s="219" t="str">
        <f>IFERROR(VLOOKUP(AF21,'ATP - RSAs'!$E:$E,1,FALSE),"#N/A")</f>
        <v>2 or 3</v>
      </c>
      <c r="AH21" s="219" t="str">
        <f t="shared" si="5"/>
        <v>Unbranded Treatment Unbranded DLBCL Medication Important Safety Information 2 or 3</v>
      </c>
      <c r="AI21" s="219" t="str">
        <f>VLOOKUP(AH21,'ATP - RSAs'!$N:$N,1,FALSE)</f>
        <v>Unbranded Treatment Unbranded DLBCL Medication Important Safety Information 2 or 3</v>
      </c>
      <c r="AJ21" s="218" t="s">
        <v>55</v>
      </c>
      <c r="AK21" s="218" t="str">
        <f>IFERROR(VLOOKUP(AJ21,'ATP - RSAs'!$C:$C,1,FALSE),"#N/A")</f>
        <v>Questions To Ask Your Doctor</v>
      </c>
      <c r="AL21" s="219" t="s">
        <v>51</v>
      </c>
      <c r="AM21" s="219" t="str">
        <f>IFERROR(VLOOKUP(AL21,'ATP - RSAs'!$E:$E,1,FALSE),"#N/A")</f>
        <v>2 or 3</v>
      </c>
      <c r="AN21" s="219" t="str">
        <f t="shared" si="6"/>
        <v>Unbranded Treatment Unbranded DLBCL Medication Questions To Ask Your Doctor 2 or 3</v>
      </c>
      <c r="AO21" s="219" t="str">
        <f>VLOOKUP(AN21,'ATP - RSAs'!$N:$N,1,FALSE)</f>
        <v>Unbranded Treatment Unbranded DLBCL Medication Questions To Ask Your Doctor 2 or 3</v>
      </c>
      <c r="AP21" s="218" t="s">
        <v>56</v>
      </c>
      <c r="AQ21" s="218" t="str">
        <f>IFERROR(VLOOKUP(AP21,'ATP - RSAs'!$C:$C,1,FALSE),"#N/A")</f>
        <v>DLBCL Infusion Therapy</v>
      </c>
      <c r="AR21" s="219" t="s">
        <v>51</v>
      </c>
      <c r="AS21" s="219" t="str">
        <f>IFERROR(VLOOKUP(AR21,'ATP - RSAs'!$E:$E,1,FALSE),"#N/A")</f>
        <v>2 or 3</v>
      </c>
      <c r="AT21" s="219" t="str">
        <f t="shared" si="7"/>
        <v>Unbranded Treatment Unbranded DLBCL Medication DLBCL Infusion Therapy 2 or 3</v>
      </c>
      <c r="AU21" s="219" t="str">
        <f>VLOOKUP(AT21,'ATP - RSAs'!$N:$N,1,FALSE)</f>
        <v>Unbranded Treatment Unbranded DLBCL Medication DLBCL Infusion Therapy 2 or 3</v>
      </c>
      <c r="AV21" s="218" t="s">
        <v>57</v>
      </c>
      <c r="AW21" s="218" t="str">
        <f>IFERROR(VLOOKUP(AV21,'ATP - RSAs'!$C:$C,1,FALSE),"#N/A")</f>
        <v>Clinical Trial Results</v>
      </c>
      <c r="AX21" s="219" t="s">
        <v>51</v>
      </c>
      <c r="AY21" s="219" t="str">
        <f>IFERROR(VLOOKUP(AX21,'ATP - RSAs'!$E:$E,1,FALSE),"#N/A")</f>
        <v>2 or 3</v>
      </c>
      <c r="AZ21" s="219" t="str">
        <f t="shared" si="8"/>
        <v>Unbranded Treatment Unbranded DLBCL Medication Clinical Trial Results 2 or 3</v>
      </c>
      <c r="BA21" s="219" t="str">
        <f>VLOOKUP(AZ21,'ATP - RSAs'!$N:$N,1,FALSE)</f>
        <v>Unbranded Treatment Unbranded DLBCL Medication Clinical Trial Results 2 or 3</v>
      </c>
      <c r="BB21" s="218" t="s">
        <v>58</v>
      </c>
      <c r="BC21" s="218" t="str">
        <f>IFERROR(VLOOKUP(BB21,'ATP - RSAs'!$C:$C,1,FALSE),"#N/A")</f>
        <v>Information For Patients</v>
      </c>
      <c r="BD21" s="219" t="s">
        <v>51</v>
      </c>
      <c r="BE21" s="219" t="str">
        <f>IFERROR(VLOOKUP(BD21,'ATP - RSAs'!$E:$E,1,FALSE),"#N/A")</f>
        <v>2 or 3</v>
      </c>
      <c r="BF21" s="219" t="str">
        <f t="shared" si="9"/>
        <v>Unbranded Treatment Unbranded DLBCL Medication Information For Patients 2 or 3</v>
      </c>
      <c r="BG21" s="219" t="str">
        <f>VLOOKUP(BF21,'ATP - RSAs'!$N:$N,1,FALSE)</f>
        <v>Unbranded Treatment Unbranded DLBCL Medication Information For Patients 2 or 3</v>
      </c>
      <c r="BH21" s="218" t="s">
        <v>59</v>
      </c>
      <c r="BI21" s="218" t="str">
        <f>IFERROR(VLOOKUP(BH21,'ATP - RSAs'!$C:$C,1,FALSE),"#N/A")</f>
        <v>Efficacy &amp; Safety Information</v>
      </c>
      <c r="BJ21" s="219" t="s">
        <v>51</v>
      </c>
      <c r="BK21" s="219" t="str">
        <f>IFERROR(VLOOKUP(BJ21,'ATP - RSAs'!$E:$E,1,FALSE),"#N/A")</f>
        <v>2 or 3</v>
      </c>
      <c r="BL21" s="219" t="str">
        <f t="shared" si="10"/>
        <v>Unbranded Treatment Unbranded DLBCL Medication Efficacy &amp; Safety Information 2 or 3</v>
      </c>
      <c r="BM21" s="219" t="str">
        <f>VLOOKUP(BL21,'ATP - RSAs'!$N:$N,1,FALSE)</f>
        <v>Unbranded Treatment Unbranded DLBCL Medication Efficacy &amp; Safety Information 2 or 3</v>
      </c>
      <c r="BN21" s="218" t="s">
        <v>105</v>
      </c>
      <c r="BO21" s="218" t="str">
        <f>IFERROR(VLOOKUP(BN21,'ATP - RSAs'!$C:$C,1,FALSE),"#N/A")</f>
        <v>DLBCL Intravenous Infusion</v>
      </c>
      <c r="BP21" s="219" t="s">
        <v>51</v>
      </c>
      <c r="BQ21" s="219" t="str">
        <f>IFERROR(VLOOKUP(BP21,'ATP - RSAs'!$E:$E,1,FALSE),"#N/A")</f>
        <v>2 or 3</v>
      </c>
      <c r="BR21" s="219" t="str">
        <f t="shared" si="11"/>
        <v>Unbranded Treatment Unbranded DLBCL Medication DLBCL Intravenous Infusion 2 or 3</v>
      </c>
      <c r="BS21" s="219" t="str">
        <f>VLOOKUP(BR21,'ATP - RSAs'!$N:$N,1,FALSE)</f>
        <v>Unbranded Treatment Unbranded DLBCL Medication DLBCL Intravenous Infusion 2 or 3</v>
      </c>
      <c r="BT21" s="218" t="s">
        <v>106</v>
      </c>
      <c r="BU21" s="218" t="str">
        <f>IFERROR(VLOOKUP(BT21,'ATP - RSAs'!$C:$C,1,FALSE),"#N/A")</f>
        <v>3L+ DLBCL Dosing Schedule Info</v>
      </c>
      <c r="BV21" s="219" t="s">
        <v>51</v>
      </c>
      <c r="BW21" s="219" t="str">
        <f>IFERROR(VLOOKUP(BV21,'ATP - RSAs'!$E:$E,1,FALSE),"#N/A")</f>
        <v>2 or 3</v>
      </c>
      <c r="BX21" s="219" t="str">
        <f t="shared" si="12"/>
        <v>Unbranded Treatment Unbranded DLBCL Medication 3L+ DLBCL Dosing Schedule Info 2 or 3</v>
      </c>
      <c r="BY21" s="219" t="str">
        <f>VLOOKUP(BX21,'ATP - RSAs'!$N:$N,1,FALSE)</f>
        <v>Unbranded Treatment Unbranded DLBCL Medication 3L+ DLBCL Dosing Schedule Info 2 or 3</v>
      </c>
      <c r="BZ21" s="218" t="s">
        <v>72</v>
      </c>
      <c r="CA21" s="218" t="str">
        <f>IFERROR(VLOOKUP(BZ21,'ATP - RSAs'!$C:$C,1,FALSE),"#N/A")</f>
        <v>Diffuse Large B-Cell Lymphoma</v>
      </c>
      <c r="CB21" s="219" t="s">
        <v>51</v>
      </c>
      <c r="CC21" s="219" t="str">
        <f>IFERROR(VLOOKUP(CB21,'ATP - RSAs'!$E:$E,1,FALSE),"#N/A")</f>
        <v>2 or 3</v>
      </c>
      <c r="CD21" s="219" t="str">
        <f t="shared" si="13"/>
        <v>Unbranded Treatment Unbranded DLBCL Medication Diffuse Large B-Cell Lymphoma 2 or 3</v>
      </c>
      <c r="CE21" s="219" t="str">
        <f>VLOOKUP(CD21,'ATP - RSAs'!$N:$N,1,FALSE)</f>
        <v>Unbranded Treatment Unbranded DLBCL Medication Diffuse Large B-Cell Lymphoma 2 or 3</v>
      </c>
      <c r="CF21" s="218" t="s">
        <v>63</v>
      </c>
      <c r="CG21" s="218" t="str">
        <f>IFERROR(VLOOKUP(CF21,'ATP - RSAs'!$F:$F,1,FALSE),"#N/A")</f>
        <v>Discover A Fixed-Duration Treatment Option For 3L+ DLBCL And View Important Safety Info.</v>
      </c>
      <c r="CH21" s="219" t="s">
        <v>64</v>
      </c>
      <c r="CI21" s="219" t="str">
        <f>IFERROR(VLOOKUP(CH21,'ATP - RSAs'!$H:$H,1,FALSE),"#N/A")</f>
        <v>Any</v>
      </c>
      <c r="CJ21" s="219" t="str">
        <f t="shared" si="14"/>
        <v>Discover A Fixed-Duration Treatment Option For 3L+ DLBCL And View Important Safety Info. Any</v>
      </c>
      <c r="CK21" s="219" t="str">
        <f>VLOOKUP(CJ21,'ATP - RSAs'!$O:$O,1,FALSE)</f>
        <v>Discover A Fixed-Duration Treatment Option For 3L+ DLBCL And View Important Safety Info. Any</v>
      </c>
      <c r="CL21" s="218" t="s">
        <v>65</v>
      </c>
      <c r="CM21" s="218" t="str">
        <f>IFERROR(VLOOKUP(CL21,'ATP - RSAs'!$F:$F,1,FALSE),"#N/A")</f>
        <v>Download The Patient Brochure To Learn More About A DLBCL Fixed-Duration Treatment.</v>
      </c>
      <c r="CN21" s="219" t="s">
        <v>64</v>
      </c>
      <c r="CO21" s="219" t="str">
        <f>IFERROR(VLOOKUP(CN21,'ATP - RSAs'!$H:$H,1,FALSE),"#N/A")</f>
        <v>Any</v>
      </c>
      <c r="CP21" s="219" t="str">
        <f t="shared" si="15"/>
        <v>Download The Patient Brochure To Learn More About A DLBCL Fixed-Duration Treatment. Any</v>
      </c>
      <c r="CQ21" s="219" t="str">
        <f>VLOOKUP(CP21,'ATP - RSAs'!$O:$O,1,FALSE)</f>
        <v>Download The Patient Brochure To Learn More About A DLBCL Fixed-Duration Treatment. Any</v>
      </c>
      <c r="CR21" s="218" t="s">
        <v>66</v>
      </c>
      <c r="CS21" s="218" t="str">
        <f>IFERROR(VLOOKUP(CR21,'ATP - RSAs'!$F:$F,1,FALSE),"#N/A")</f>
        <v>Explore An Infusion Option For Diffuse Large B Cell Lymphoma &amp; View Clinical Results.</v>
      </c>
      <c r="CT21" s="219" t="s">
        <v>64</v>
      </c>
      <c r="CU21" s="219" t="str">
        <f>IFERROR(VLOOKUP(CT21,'ATP - RSAs'!$H:$H,1,FALSE),"#N/A")</f>
        <v>Any</v>
      </c>
      <c r="CV21" s="219" t="str">
        <f t="shared" si="16"/>
        <v>Explore An Infusion Option For Diffuse Large B Cell Lymphoma &amp; View Clinical Results. Any</v>
      </c>
      <c r="CW21" s="219" t="str">
        <f>VLOOKUP(CV21,'ATP - RSAs'!$O:$O,1,FALSE)</f>
        <v>Explore An Infusion Option For Diffuse Large B Cell Lymphoma &amp; View Clinical Results. Any</v>
      </c>
      <c r="CX21" s="218" t="s">
        <v>74</v>
      </c>
      <c r="CY21" s="218" t="str">
        <f>IFERROR(VLOOKUP(CX21,'ATP - RSAs'!$F:$F,1,FALSE),"#N/A")</f>
        <v>Learn More About Starting Treatment For 3L+ DLBCL After Two Or More Prior Therapies.</v>
      </c>
      <c r="CZ21" s="219" t="s">
        <v>64</v>
      </c>
      <c r="DA21" s="219" t="str">
        <f>IFERROR(VLOOKUP(CZ21,'ATP - RSAs'!$H:$H,1,FALSE),"#N/A")</f>
        <v>Any</v>
      </c>
      <c r="DB21" s="219" t="str">
        <f t="shared" si="17"/>
        <v>Learn More About Starting Treatment For 3L+ DLBCL After Two Or More Prior Therapies. Any</v>
      </c>
      <c r="DC21" s="219" t="str">
        <f>VLOOKUP(DB21,'ATP - RSAs'!$O:$O,1,FALSE)</f>
        <v>Learn More About Starting Treatment For 3L+ DLBCL After Two Or More Prior Therapies. Any</v>
      </c>
      <c r="DD21" s="218" t="s">
        <v>309</v>
      </c>
      <c r="DE21" s="218" t="s">
        <v>107</v>
      </c>
    </row>
    <row r="22" spans="1:109" ht="15.75" customHeight="1" x14ac:dyDescent="0.3">
      <c r="A22" s="4" t="s">
        <v>92</v>
      </c>
      <c r="B22" s="4" t="str">
        <f>IFERROR(VLOOKUP(A22,'ATP - RSAs'!$A:$A,1,FALSE),"#N/A")</f>
        <v>Unbranded Treatment</v>
      </c>
      <c r="C22" s="4" t="s">
        <v>109</v>
      </c>
      <c r="D22" s="4" t="str">
        <f>IFERROR(VLOOKUP(C22,'ATP - RSAs'!$B:$B,1,FALSE),"#N/A")</f>
        <v>Unbranded DLBCL Therapy</v>
      </c>
      <c r="E22" s="4" t="str">
        <f t="shared" si="0"/>
        <v>Unbranded Treatment Unbranded DLBCL Therapy</v>
      </c>
      <c r="F22" s="218" t="s">
        <v>110</v>
      </c>
      <c r="G22" s="218" t="str">
        <f>IFERROR(VLOOKUP(F22,'ATP - RSAs'!$C:$C,1,FALSE),"#N/A")</f>
        <v>Therapy Option For 3L+ DLBCL</v>
      </c>
      <c r="H22" s="219">
        <v>1</v>
      </c>
      <c r="I22" s="219">
        <f>IFERROR(VLOOKUP(H22,'ATP - RSAs'!$E:$E,1,FALSE),"#N/A")</f>
        <v>1</v>
      </c>
      <c r="J22" s="219" t="str">
        <f t="shared" si="1"/>
        <v>Unbranded Treatment Unbranded DLBCL Therapy Therapy Option For 3L+ DLBCL 1</v>
      </c>
      <c r="K22" s="219" t="str">
        <f>VLOOKUP(J22,'ATP - RSAs'!$N:$N,1,FALSE)</f>
        <v>Unbranded Treatment Unbranded DLBCL Therapy Therapy Option For 3L+ DLBCL 1</v>
      </c>
      <c r="L22" s="218" t="s">
        <v>50</v>
      </c>
      <c r="M22" s="218" t="str">
        <f>IFERROR(VLOOKUP(L22,'ATP - RSAs'!$C:$C,1,FALSE),"#N/A")</f>
        <v>Download The Patient Brochure</v>
      </c>
      <c r="N22" s="219" t="s">
        <v>51</v>
      </c>
      <c r="O22" s="219" t="str">
        <f>IFERROR(VLOOKUP(N22,'ATP - RSAs'!$E:$E,1,FALSE),"#N/A")</f>
        <v>2 or 3</v>
      </c>
      <c r="P22" s="219" t="str">
        <f t="shared" si="2"/>
        <v>Unbranded Treatment Unbranded DLBCL Therapy Download The Patient Brochure 2 or 3</v>
      </c>
      <c r="Q22" s="219" t="str">
        <f>VLOOKUP(P22,'ATP - RSAs'!$N:$N,1,FALSE)</f>
        <v>Unbranded Treatment Unbranded DLBCL Therapy Download The Patient Brochure 2 or 3</v>
      </c>
      <c r="R22" s="218" t="s">
        <v>52</v>
      </c>
      <c r="S22" s="218" t="str">
        <f>IFERROR(VLOOKUP(R22,'ATP - RSAs'!$C:$C,1,FALSE),"#N/A")</f>
        <v>Resources For Patients</v>
      </c>
      <c r="T22" s="219" t="s">
        <v>51</v>
      </c>
      <c r="U22" s="219" t="str">
        <f>IFERROR(VLOOKUP(T22,'ATP - RSAs'!$E:$E,1,FALSE),"#N/A")</f>
        <v>2 or 3</v>
      </c>
      <c r="V22" s="219" t="str">
        <f t="shared" si="3"/>
        <v>Unbranded Treatment Unbranded DLBCL Therapy Resources For Patients 2 or 3</v>
      </c>
      <c r="W22" s="219" t="str">
        <f>VLOOKUP(V22,'ATP - RSAs'!$N:$N,1,FALSE)</f>
        <v>Unbranded Treatment Unbranded DLBCL Therapy Resources For Patients 2 or 3</v>
      </c>
      <c r="X22" s="218" t="s">
        <v>53</v>
      </c>
      <c r="Y22" s="218" t="str">
        <f>IFERROR(VLOOKUP(X22,'ATP - RSAs'!$C:$C,1,FALSE),"#N/A")</f>
        <v>Financial Assistance Options</v>
      </c>
      <c r="Z22" s="219" t="s">
        <v>51</v>
      </c>
      <c r="AA22" s="219" t="str">
        <f>IFERROR(VLOOKUP(Z22,'ATP - RSAs'!$E:$E,1,FALSE),"#N/A")</f>
        <v>2 or 3</v>
      </c>
      <c r="AB22" s="219" t="str">
        <f t="shared" si="4"/>
        <v>Unbranded Treatment Unbranded DLBCL Therapy Financial Assistance Options 2 or 3</v>
      </c>
      <c r="AC22" s="219" t="str">
        <f>VLOOKUP(AB22,'ATP - RSAs'!$N:$N,1,FALSE)</f>
        <v>Unbranded Treatment Unbranded DLBCL Therapy Financial Assistance Options 2 or 3</v>
      </c>
      <c r="AD22" s="218" t="s">
        <v>54</v>
      </c>
      <c r="AE22" s="218" t="str">
        <f>IFERROR(VLOOKUP(AD22,'ATP - RSAs'!$C:$C,1,FALSE),"#N/A")</f>
        <v>Important Safety Information</v>
      </c>
      <c r="AF22" s="219" t="s">
        <v>51</v>
      </c>
      <c r="AG22" s="219" t="str">
        <f>IFERROR(VLOOKUP(AF22,'ATP - RSAs'!$E:$E,1,FALSE),"#N/A")</f>
        <v>2 or 3</v>
      </c>
      <c r="AH22" s="219" t="str">
        <f t="shared" si="5"/>
        <v>Unbranded Treatment Unbranded DLBCL Therapy Important Safety Information 2 or 3</v>
      </c>
      <c r="AI22" s="219" t="str">
        <f>VLOOKUP(AH22,'ATP - RSAs'!$N:$N,1,FALSE)</f>
        <v>Unbranded Treatment Unbranded DLBCL Therapy Important Safety Information 2 or 3</v>
      </c>
      <c r="AJ22" s="218" t="s">
        <v>55</v>
      </c>
      <c r="AK22" s="218" t="str">
        <f>IFERROR(VLOOKUP(AJ22,'ATP - RSAs'!$C:$C,1,FALSE),"#N/A")</f>
        <v>Questions To Ask Your Doctor</v>
      </c>
      <c r="AL22" s="219" t="s">
        <v>51</v>
      </c>
      <c r="AM22" s="219" t="str">
        <f>IFERROR(VLOOKUP(AL22,'ATP - RSAs'!$E:$E,1,FALSE),"#N/A")</f>
        <v>2 or 3</v>
      </c>
      <c r="AN22" s="219" t="str">
        <f t="shared" si="6"/>
        <v>Unbranded Treatment Unbranded DLBCL Therapy Questions To Ask Your Doctor 2 or 3</v>
      </c>
      <c r="AO22" s="219" t="str">
        <f>VLOOKUP(AN22,'ATP - RSAs'!$N:$N,1,FALSE)</f>
        <v>Unbranded Treatment Unbranded DLBCL Therapy Questions To Ask Your Doctor 2 or 3</v>
      </c>
      <c r="AP22" s="218" t="s">
        <v>56</v>
      </c>
      <c r="AQ22" s="218" t="str">
        <f>IFERROR(VLOOKUP(AP22,'ATP - RSAs'!$C:$C,1,FALSE),"#N/A")</f>
        <v>DLBCL Infusion Therapy</v>
      </c>
      <c r="AR22" s="219" t="s">
        <v>51</v>
      </c>
      <c r="AS22" s="219" t="str">
        <f>IFERROR(VLOOKUP(AR22,'ATP - RSAs'!$E:$E,1,FALSE),"#N/A")</f>
        <v>2 or 3</v>
      </c>
      <c r="AT22" s="219" t="str">
        <f t="shared" si="7"/>
        <v>Unbranded Treatment Unbranded DLBCL Therapy DLBCL Infusion Therapy 2 or 3</v>
      </c>
      <c r="AU22" s="219" t="str">
        <f>VLOOKUP(AT22,'ATP - RSAs'!$N:$N,1,FALSE)</f>
        <v>Unbranded Treatment Unbranded DLBCL Therapy DLBCL Infusion Therapy 2 or 3</v>
      </c>
      <c r="AV22" s="218" t="s">
        <v>57</v>
      </c>
      <c r="AW22" s="218" t="str">
        <f>IFERROR(VLOOKUP(AV22,'ATP - RSAs'!$C:$C,1,FALSE),"#N/A")</f>
        <v>Clinical Trial Results</v>
      </c>
      <c r="AX22" s="219" t="s">
        <v>51</v>
      </c>
      <c r="AY22" s="219" t="str">
        <f>IFERROR(VLOOKUP(AX22,'ATP - RSAs'!$E:$E,1,FALSE),"#N/A")</f>
        <v>2 or 3</v>
      </c>
      <c r="AZ22" s="219" t="str">
        <f t="shared" si="8"/>
        <v>Unbranded Treatment Unbranded DLBCL Therapy Clinical Trial Results 2 or 3</v>
      </c>
      <c r="BA22" s="219" t="str">
        <f>VLOOKUP(AZ22,'ATP - RSAs'!$N:$N,1,FALSE)</f>
        <v>Unbranded Treatment Unbranded DLBCL Therapy Clinical Trial Results 2 or 3</v>
      </c>
      <c r="BB22" s="218" t="s">
        <v>58</v>
      </c>
      <c r="BC22" s="218" t="str">
        <f>IFERROR(VLOOKUP(BB22,'ATP - RSAs'!$C:$C,1,FALSE),"#N/A")</f>
        <v>Information For Patients</v>
      </c>
      <c r="BD22" s="219" t="s">
        <v>51</v>
      </c>
      <c r="BE22" s="219" t="str">
        <f>IFERROR(VLOOKUP(BD22,'ATP - RSAs'!$E:$E,1,FALSE),"#N/A")</f>
        <v>2 or 3</v>
      </c>
      <c r="BF22" s="219" t="str">
        <f t="shared" si="9"/>
        <v>Unbranded Treatment Unbranded DLBCL Therapy Information For Patients 2 or 3</v>
      </c>
      <c r="BG22" s="219" t="str">
        <f>VLOOKUP(BF22,'ATP - RSAs'!$N:$N,1,FALSE)</f>
        <v>Unbranded Treatment Unbranded DLBCL Therapy Information For Patients 2 or 3</v>
      </c>
      <c r="BH22" s="218" t="s">
        <v>59</v>
      </c>
      <c r="BI22" s="218" t="str">
        <f>IFERROR(VLOOKUP(BH22,'ATP - RSAs'!$C:$C,1,FALSE),"#N/A")</f>
        <v>Efficacy &amp; Safety Information</v>
      </c>
      <c r="BJ22" s="219" t="s">
        <v>51</v>
      </c>
      <c r="BK22" s="219" t="str">
        <f>IFERROR(VLOOKUP(BJ22,'ATP - RSAs'!$E:$E,1,FALSE),"#N/A")</f>
        <v>2 or 3</v>
      </c>
      <c r="BL22" s="219" t="str">
        <f t="shared" si="10"/>
        <v>Unbranded Treatment Unbranded DLBCL Therapy Efficacy &amp; Safety Information 2 or 3</v>
      </c>
      <c r="BM22" s="219" t="str">
        <f>VLOOKUP(BL22,'ATP - RSAs'!$N:$N,1,FALSE)</f>
        <v>Unbranded Treatment Unbranded DLBCL Therapy Efficacy &amp; Safety Information 2 or 3</v>
      </c>
      <c r="BN22" s="218" t="s">
        <v>105</v>
      </c>
      <c r="BO22" s="218" t="str">
        <f>IFERROR(VLOOKUP(BN22,'ATP - RSAs'!$C:$C,1,FALSE),"#N/A")</f>
        <v>DLBCL Intravenous Infusion</v>
      </c>
      <c r="BP22" s="219" t="s">
        <v>51</v>
      </c>
      <c r="BQ22" s="219" t="str">
        <f>IFERROR(VLOOKUP(BP22,'ATP - RSAs'!$E:$E,1,FALSE),"#N/A")</f>
        <v>2 or 3</v>
      </c>
      <c r="BR22" s="219" t="str">
        <f t="shared" si="11"/>
        <v>Unbranded Treatment Unbranded DLBCL Therapy DLBCL Intravenous Infusion 2 or 3</v>
      </c>
      <c r="BS22" s="219" t="str">
        <f>VLOOKUP(BR22,'ATP - RSAs'!$N:$N,1,FALSE)</f>
        <v>Unbranded Treatment Unbranded DLBCL Therapy DLBCL Intravenous Infusion 2 or 3</v>
      </c>
      <c r="BT22" s="218" t="s">
        <v>99</v>
      </c>
      <c r="BU22" s="218" t="str">
        <f>IFERROR(VLOOKUP(BT22,'ATP - RSAs'!$C:$C,1,FALSE),"#N/A")</f>
        <v>DLBCL Symptoms</v>
      </c>
      <c r="BV22" s="219" t="s">
        <v>51</v>
      </c>
      <c r="BW22" s="219" t="str">
        <f>IFERROR(VLOOKUP(BV22,'ATP - RSAs'!$E:$E,1,FALSE),"#N/A")</f>
        <v>2 or 3</v>
      </c>
      <c r="BX22" s="219" t="str">
        <f t="shared" si="12"/>
        <v>Unbranded Treatment Unbranded DLBCL Therapy DLBCL Symptoms 2 or 3</v>
      </c>
      <c r="BY22" s="219" t="str">
        <f>VLOOKUP(BX22,'ATP - RSAs'!$N:$N,1,FALSE)</f>
        <v>Unbranded Treatment Unbranded DLBCL Therapy DLBCL Symptoms 2 or 3</v>
      </c>
      <c r="BZ22" s="218" t="s">
        <v>111</v>
      </c>
      <c r="CA22" s="218" t="str">
        <f>IFERROR(VLOOKUP(BZ22,'ATP - RSAs'!$C:$C,1,FALSE),"#N/A")</f>
        <v>3L+ DLBCL Therapy Option</v>
      </c>
      <c r="CB22" s="219" t="s">
        <v>51</v>
      </c>
      <c r="CC22" s="219" t="str">
        <f>IFERROR(VLOOKUP(CB22,'ATP - RSAs'!$E:$E,1,FALSE),"#N/A")</f>
        <v>2 or 3</v>
      </c>
      <c r="CD22" s="219" t="str">
        <f t="shared" si="13"/>
        <v>Unbranded Treatment Unbranded DLBCL Therapy 3L+ DLBCL Therapy Option 2 or 3</v>
      </c>
      <c r="CE22" s="219" t="str">
        <f>VLOOKUP(CD22,'ATP - RSAs'!$N:$N,1,FALSE)</f>
        <v>Unbranded Treatment Unbranded DLBCL Therapy 3L+ DLBCL Therapy Option 2 or 3</v>
      </c>
      <c r="CF22" s="218" t="s">
        <v>63</v>
      </c>
      <c r="CG22" s="218" t="str">
        <f>IFERROR(VLOOKUP(CF22,'ATP - RSAs'!$F:$F,1,FALSE),"#N/A")</f>
        <v>Discover A Fixed-Duration Treatment Option For 3L+ DLBCL And View Important Safety Info.</v>
      </c>
      <c r="CH22" s="219" t="s">
        <v>64</v>
      </c>
      <c r="CI22" s="219" t="str">
        <f>IFERROR(VLOOKUP(CH22,'ATP - RSAs'!$H:$H,1,FALSE),"#N/A")</f>
        <v>Any</v>
      </c>
      <c r="CJ22" s="219" t="str">
        <f t="shared" si="14"/>
        <v>Discover A Fixed-Duration Treatment Option For 3L+ DLBCL And View Important Safety Info. Any</v>
      </c>
      <c r="CK22" s="219" t="str">
        <f>VLOOKUP(CJ22,'ATP - RSAs'!$O:$O,1,FALSE)</f>
        <v>Discover A Fixed-Duration Treatment Option For 3L+ DLBCL And View Important Safety Info. Any</v>
      </c>
      <c r="CL22" s="218" t="s">
        <v>65</v>
      </c>
      <c r="CM22" s="218" t="str">
        <f>IFERROR(VLOOKUP(CL22,'ATP - RSAs'!$F:$F,1,FALSE),"#N/A")</f>
        <v>Download The Patient Brochure To Learn More About A DLBCL Fixed-Duration Treatment.</v>
      </c>
      <c r="CN22" s="219" t="s">
        <v>64</v>
      </c>
      <c r="CO22" s="219" t="str">
        <f>IFERROR(VLOOKUP(CN22,'ATP - RSAs'!$H:$H,1,FALSE),"#N/A")</f>
        <v>Any</v>
      </c>
      <c r="CP22" s="219" t="str">
        <f t="shared" si="15"/>
        <v>Download The Patient Brochure To Learn More About A DLBCL Fixed-Duration Treatment. Any</v>
      </c>
      <c r="CQ22" s="219" t="str">
        <f>VLOOKUP(CP22,'ATP - RSAs'!$O:$O,1,FALSE)</f>
        <v>Download The Patient Brochure To Learn More About A DLBCL Fixed-Duration Treatment. Any</v>
      </c>
      <c r="CR22" s="218" t="s">
        <v>66</v>
      </c>
      <c r="CS22" s="218" t="str">
        <f>IFERROR(VLOOKUP(CR22,'ATP - RSAs'!$F:$F,1,FALSE),"#N/A")</f>
        <v>Explore An Infusion Option For Diffuse Large B Cell Lymphoma &amp; View Clinical Results.</v>
      </c>
      <c r="CT22" s="219" t="s">
        <v>64</v>
      </c>
      <c r="CU22" s="219" t="str">
        <f>IFERROR(VLOOKUP(CT22,'ATP - RSAs'!$H:$H,1,FALSE),"#N/A")</f>
        <v>Any</v>
      </c>
      <c r="CV22" s="219" t="str">
        <f t="shared" si="16"/>
        <v>Explore An Infusion Option For Diffuse Large B Cell Lymphoma &amp; View Clinical Results. Any</v>
      </c>
      <c r="CW22" s="219" t="str">
        <f>VLOOKUP(CV22,'ATP - RSAs'!$O:$O,1,FALSE)</f>
        <v>Explore An Infusion Option For Diffuse Large B Cell Lymphoma &amp; View Clinical Results. Any</v>
      </c>
      <c r="CX22" s="218" t="s">
        <v>74</v>
      </c>
      <c r="CY22" s="218" t="str">
        <f>IFERROR(VLOOKUP(CX22,'ATP - RSAs'!$F:$F,1,FALSE),"#N/A")</f>
        <v>Learn More About Starting Treatment For 3L+ DLBCL After Two Or More Prior Therapies.</v>
      </c>
      <c r="CZ22" s="219" t="s">
        <v>64</v>
      </c>
      <c r="DA22" s="219" t="str">
        <f>IFERROR(VLOOKUP(CZ22,'ATP - RSAs'!$H:$H,1,FALSE),"#N/A")</f>
        <v>Any</v>
      </c>
      <c r="DB22" s="219" t="str">
        <f t="shared" si="17"/>
        <v>Learn More About Starting Treatment For 3L+ DLBCL After Two Or More Prior Therapies. Any</v>
      </c>
      <c r="DC22" s="219" t="str">
        <f>VLOOKUP(DB22,'ATP - RSAs'!$O:$O,1,FALSE)</f>
        <v>Learn More About Starting Treatment For 3L+ DLBCL After Two Or More Prior Therapies. Any</v>
      </c>
      <c r="DD22" s="218" t="s">
        <v>309</v>
      </c>
      <c r="DE22" s="218" t="s">
        <v>107</v>
      </c>
    </row>
    <row r="23" spans="1:109" ht="15.75" customHeight="1" x14ac:dyDescent="0.3">
      <c r="A23" s="4" t="s">
        <v>92</v>
      </c>
      <c r="B23" s="4" t="str">
        <f>IFERROR(VLOOKUP(A23,'ATP - RSAs'!$A:$A,1,FALSE),"#N/A")</f>
        <v>Unbranded Treatment</v>
      </c>
      <c r="C23" s="4" t="s">
        <v>113</v>
      </c>
      <c r="D23" s="4" t="str">
        <f>IFERROR(VLOOKUP(C23,'ATP - RSAs'!$B:$B,1,FALSE),"#N/A")</f>
        <v>Unbranded DLBCL Dosing</v>
      </c>
      <c r="E23" s="4" t="str">
        <f t="shared" si="0"/>
        <v>Unbranded Treatment Unbranded DLBCL Dosing</v>
      </c>
      <c r="F23" s="218" t="s">
        <v>110</v>
      </c>
      <c r="G23" s="218" t="str">
        <f>IFERROR(VLOOKUP(F23,'ATP - RSAs'!$C:$C,1,FALSE),"#N/A")</f>
        <v>Therapy Option For 3L+ DLBCL</v>
      </c>
      <c r="H23" s="219">
        <v>1</v>
      </c>
      <c r="I23" s="219">
        <f>IFERROR(VLOOKUP(H23,'ATP - RSAs'!$E:$E,1,FALSE),"#N/A")</f>
        <v>1</v>
      </c>
      <c r="J23" s="219" t="str">
        <f t="shared" si="1"/>
        <v>Unbranded Treatment Unbranded DLBCL Dosing Therapy Option For 3L+ DLBCL 1</v>
      </c>
      <c r="K23" s="219" t="str">
        <f>VLOOKUP(J23,'ATP - RSAs'!$N:$N,1,FALSE)</f>
        <v>Unbranded Treatment Unbranded DLBCL Dosing Therapy Option For 3L+ DLBCL 1</v>
      </c>
      <c r="L23" s="218" t="s">
        <v>50</v>
      </c>
      <c r="M23" s="218" t="str">
        <f>IFERROR(VLOOKUP(L23,'ATP - RSAs'!$C:$C,1,FALSE),"#N/A")</f>
        <v>Download The Patient Brochure</v>
      </c>
      <c r="N23" s="219" t="s">
        <v>51</v>
      </c>
      <c r="O23" s="219" t="str">
        <f>IFERROR(VLOOKUP(N23,'ATP - RSAs'!$E:$E,1,FALSE),"#N/A")</f>
        <v>2 or 3</v>
      </c>
      <c r="P23" s="219" t="str">
        <f t="shared" si="2"/>
        <v>Unbranded Treatment Unbranded DLBCL Dosing Download The Patient Brochure 2 or 3</v>
      </c>
      <c r="Q23" s="219" t="str">
        <f>VLOOKUP(P23,'ATP - RSAs'!$N:$N,1,FALSE)</f>
        <v>Unbranded Treatment Unbranded DLBCL Dosing Download The Patient Brochure 2 or 3</v>
      </c>
      <c r="R23" s="218" t="s">
        <v>52</v>
      </c>
      <c r="S23" s="218" t="str">
        <f>IFERROR(VLOOKUP(R23,'ATP - RSAs'!$C:$C,1,FALSE),"#N/A")</f>
        <v>Resources For Patients</v>
      </c>
      <c r="T23" s="219" t="s">
        <v>51</v>
      </c>
      <c r="U23" s="219" t="str">
        <f>IFERROR(VLOOKUP(T23,'ATP - RSAs'!$E:$E,1,FALSE),"#N/A")</f>
        <v>2 or 3</v>
      </c>
      <c r="V23" s="219" t="str">
        <f t="shared" si="3"/>
        <v>Unbranded Treatment Unbranded DLBCL Dosing Resources For Patients 2 or 3</v>
      </c>
      <c r="W23" s="219" t="str">
        <f>VLOOKUP(V23,'ATP - RSAs'!$N:$N,1,FALSE)</f>
        <v>Unbranded Treatment Unbranded DLBCL Dosing Resources For Patients 2 or 3</v>
      </c>
      <c r="X23" s="218" t="s">
        <v>53</v>
      </c>
      <c r="Y23" s="218" t="str">
        <f>IFERROR(VLOOKUP(X23,'ATP - RSAs'!$C:$C,1,FALSE),"#N/A")</f>
        <v>Financial Assistance Options</v>
      </c>
      <c r="Z23" s="219" t="s">
        <v>51</v>
      </c>
      <c r="AA23" s="219" t="str">
        <f>IFERROR(VLOOKUP(Z23,'ATP - RSAs'!$E:$E,1,FALSE),"#N/A")</f>
        <v>2 or 3</v>
      </c>
      <c r="AB23" s="219" t="str">
        <f t="shared" si="4"/>
        <v>Unbranded Treatment Unbranded DLBCL Dosing Financial Assistance Options 2 or 3</v>
      </c>
      <c r="AC23" s="219" t="str">
        <f>VLOOKUP(AB23,'ATP - RSAs'!$N:$N,1,FALSE)</f>
        <v>Unbranded Treatment Unbranded DLBCL Dosing Financial Assistance Options 2 or 3</v>
      </c>
      <c r="AD23" s="218" t="s">
        <v>54</v>
      </c>
      <c r="AE23" s="218" t="str">
        <f>IFERROR(VLOOKUP(AD23,'ATP - RSAs'!$C:$C,1,FALSE),"#N/A")</f>
        <v>Important Safety Information</v>
      </c>
      <c r="AF23" s="219" t="s">
        <v>51</v>
      </c>
      <c r="AG23" s="219" t="str">
        <f>IFERROR(VLOOKUP(AF23,'ATP - RSAs'!$E:$E,1,FALSE),"#N/A")</f>
        <v>2 or 3</v>
      </c>
      <c r="AH23" s="219" t="str">
        <f t="shared" si="5"/>
        <v>Unbranded Treatment Unbranded DLBCL Dosing Important Safety Information 2 or 3</v>
      </c>
      <c r="AI23" s="219" t="str">
        <f>VLOOKUP(AH23,'ATP - RSAs'!$N:$N,1,FALSE)</f>
        <v>Unbranded Treatment Unbranded DLBCL Dosing Important Safety Information 2 or 3</v>
      </c>
      <c r="AJ23" s="218" t="s">
        <v>55</v>
      </c>
      <c r="AK23" s="218" t="str">
        <f>IFERROR(VLOOKUP(AJ23,'ATP - RSAs'!$C:$C,1,FALSE),"#N/A")</f>
        <v>Questions To Ask Your Doctor</v>
      </c>
      <c r="AL23" s="219" t="s">
        <v>51</v>
      </c>
      <c r="AM23" s="219" t="str">
        <f>IFERROR(VLOOKUP(AL23,'ATP - RSAs'!$E:$E,1,FALSE),"#N/A")</f>
        <v>2 or 3</v>
      </c>
      <c r="AN23" s="219" t="str">
        <f t="shared" si="6"/>
        <v>Unbranded Treatment Unbranded DLBCL Dosing Questions To Ask Your Doctor 2 or 3</v>
      </c>
      <c r="AO23" s="219" t="str">
        <f>VLOOKUP(AN23,'ATP - RSAs'!$N:$N,1,FALSE)</f>
        <v>Unbranded Treatment Unbranded DLBCL Dosing Questions To Ask Your Doctor 2 or 3</v>
      </c>
      <c r="AP23" s="218" t="s">
        <v>56</v>
      </c>
      <c r="AQ23" s="218" t="str">
        <f>IFERROR(VLOOKUP(AP23,'ATP - RSAs'!$C:$C,1,FALSE),"#N/A")</f>
        <v>DLBCL Infusion Therapy</v>
      </c>
      <c r="AR23" s="219" t="s">
        <v>51</v>
      </c>
      <c r="AS23" s="219" t="str">
        <f>IFERROR(VLOOKUP(AR23,'ATP - RSAs'!$E:$E,1,FALSE),"#N/A")</f>
        <v>2 or 3</v>
      </c>
      <c r="AT23" s="219" t="str">
        <f t="shared" si="7"/>
        <v>Unbranded Treatment Unbranded DLBCL Dosing DLBCL Infusion Therapy 2 or 3</v>
      </c>
      <c r="AU23" s="219" t="str">
        <f>VLOOKUP(AT23,'ATP - RSAs'!$N:$N,1,FALSE)</f>
        <v>Unbranded Treatment Unbranded DLBCL Dosing DLBCL Infusion Therapy 2 or 3</v>
      </c>
      <c r="AV23" s="218" t="s">
        <v>57</v>
      </c>
      <c r="AW23" s="218" t="str">
        <f>IFERROR(VLOOKUP(AV23,'ATP - RSAs'!$C:$C,1,FALSE),"#N/A")</f>
        <v>Clinical Trial Results</v>
      </c>
      <c r="AX23" s="219" t="s">
        <v>51</v>
      </c>
      <c r="AY23" s="219" t="str">
        <f>IFERROR(VLOOKUP(AX23,'ATP - RSAs'!$E:$E,1,FALSE),"#N/A")</f>
        <v>2 or 3</v>
      </c>
      <c r="AZ23" s="219" t="str">
        <f t="shared" si="8"/>
        <v>Unbranded Treatment Unbranded DLBCL Dosing Clinical Trial Results 2 or 3</v>
      </c>
      <c r="BA23" s="219" t="str">
        <f>VLOOKUP(AZ23,'ATP - RSAs'!$N:$N,1,FALSE)</f>
        <v>Unbranded Treatment Unbranded DLBCL Dosing Clinical Trial Results 2 or 3</v>
      </c>
      <c r="BB23" s="218" t="s">
        <v>58</v>
      </c>
      <c r="BC23" s="218" t="str">
        <f>IFERROR(VLOOKUP(BB23,'ATP - RSAs'!$C:$C,1,FALSE),"#N/A")</f>
        <v>Information For Patients</v>
      </c>
      <c r="BD23" s="219" t="s">
        <v>51</v>
      </c>
      <c r="BE23" s="219" t="str">
        <f>IFERROR(VLOOKUP(BD23,'ATP - RSAs'!$E:$E,1,FALSE),"#N/A")</f>
        <v>2 or 3</v>
      </c>
      <c r="BF23" s="219" t="str">
        <f t="shared" si="9"/>
        <v>Unbranded Treatment Unbranded DLBCL Dosing Information For Patients 2 or 3</v>
      </c>
      <c r="BG23" s="219" t="str">
        <f>VLOOKUP(BF23,'ATP - RSAs'!$N:$N,1,FALSE)</f>
        <v>Unbranded Treatment Unbranded DLBCL Dosing Information For Patients 2 or 3</v>
      </c>
      <c r="BH23" s="218" t="s">
        <v>59</v>
      </c>
      <c r="BI23" s="218" t="str">
        <f>IFERROR(VLOOKUP(BH23,'ATP - RSAs'!$C:$C,1,FALSE),"#N/A")</f>
        <v>Efficacy &amp; Safety Information</v>
      </c>
      <c r="BJ23" s="219" t="s">
        <v>51</v>
      </c>
      <c r="BK23" s="219" t="str">
        <f>IFERROR(VLOOKUP(BJ23,'ATP - RSAs'!$E:$E,1,FALSE),"#N/A")</f>
        <v>2 or 3</v>
      </c>
      <c r="BL23" s="219" t="str">
        <f t="shared" si="10"/>
        <v>Unbranded Treatment Unbranded DLBCL Dosing Efficacy &amp; Safety Information 2 or 3</v>
      </c>
      <c r="BM23" s="219" t="str">
        <f>VLOOKUP(BL23,'ATP - RSAs'!$N:$N,1,FALSE)</f>
        <v>Unbranded Treatment Unbranded DLBCL Dosing Efficacy &amp; Safety Information 2 or 3</v>
      </c>
      <c r="BN23" s="218" t="s">
        <v>105</v>
      </c>
      <c r="BO23" s="218" t="str">
        <f>IFERROR(VLOOKUP(BN23,'ATP - RSAs'!$C:$C,1,FALSE),"#N/A")</f>
        <v>DLBCL Intravenous Infusion</v>
      </c>
      <c r="BP23" s="219" t="s">
        <v>51</v>
      </c>
      <c r="BQ23" s="219" t="str">
        <f>IFERROR(VLOOKUP(BP23,'ATP - RSAs'!$E:$E,1,FALSE),"#N/A")</f>
        <v>2 or 3</v>
      </c>
      <c r="BR23" s="219" t="str">
        <f t="shared" si="11"/>
        <v>Unbranded Treatment Unbranded DLBCL Dosing DLBCL Intravenous Infusion 2 or 3</v>
      </c>
      <c r="BS23" s="219" t="str">
        <f>VLOOKUP(BR23,'ATP - RSAs'!$N:$N,1,FALSE)</f>
        <v>Unbranded Treatment Unbranded DLBCL Dosing DLBCL Intravenous Infusion 2 or 3</v>
      </c>
      <c r="BT23" s="218" t="s">
        <v>99</v>
      </c>
      <c r="BU23" s="218" t="str">
        <f>IFERROR(VLOOKUP(BT23,'ATP - RSAs'!$C:$C,1,FALSE),"#N/A")</f>
        <v>DLBCL Symptoms</v>
      </c>
      <c r="BV23" s="219" t="s">
        <v>51</v>
      </c>
      <c r="BW23" s="219" t="str">
        <f>IFERROR(VLOOKUP(BV23,'ATP - RSAs'!$E:$E,1,FALSE),"#N/A")</f>
        <v>2 or 3</v>
      </c>
      <c r="BX23" s="219" t="str">
        <f t="shared" si="12"/>
        <v>Unbranded Treatment Unbranded DLBCL Dosing DLBCL Symptoms 2 or 3</v>
      </c>
      <c r="BY23" s="219" t="str">
        <f>VLOOKUP(BX23,'ATP - RSAs'!$N:$N,1,FALSE)</f>
        <v>Unbranded Treatment Unbranded DLBCL Dosing DLBCL Symptoms 2 or 3</v>
      </c>
      <c r="BZ23" s="218" t="s">
        <v>111</v>
      </c>
      <c r="CA23" s="218" t="str">
        <f>IFERROR(VLOOKUP(BZ23,'ATP - RSAs'!$C:$C,1,FALSE),"#N/A")</f>
        <v>3L+ DLBCL Therapy Option</v>
      </c>
      <c r="CB23" s="219" t="s">
        <v>51</v>
      </c>
      <c r="CC23" s="219" t="str">
        <f>IFERROR(VLOOKUP(CB23,'ATP - RSAs'!$E:$E,1,FALSE),"#N/A")</f>
        <v>2 or 3</v>
      </c>
      <c r="CD23" s="219" t="str">
        <f t="shared" si="13"/>
        <v>Unbranded Treatment Unbranded DLBCL Dosing 3L+ DLBCL Therapy Option 2 or 3</v>
      </c>
      <c r="CE23" s="219" t="str">
        <f>VLOOKUP(CD23,'ATP - RSAs'!$N:$N,1,FALSE)</f>
        <v>Unbranded Treatment Unbranded DLBCL Dosing 3L+ DLBCL Therapy Option 2 or 3</v>
      </c>
      <c r="CF23" s="218" t="s">
        <v>63</v>
      </c>
      <c r="CG23" s="218" t="str">
        <f>IFERROR(VLOOKUP(CF23,'ATP - RSAs'!$F:$F,1,FALSE),"#N/A")</f>
        <v>Discover A Fixed-Duration Treatment Option For 3L+ DLBCL And View Important Safety Info.</v>
      </c>
      <c r="CH23" s="219" t="s">
        <v>64</v>
      </c>
      <c r="CI23" s="219" t="str">
        <f>IFERROR(VLOOKUP(CH23,'ATP - RSAs'!$H:$H,1,FALSE),"#N/A")</f>
        <v>Any</v>
      </c>
      <c r="CJ23" s="219" t="str">
        <f t="shared" si="14"/>
        <v>Discover A Fixed-Duration Treatment Option For 3L+ DLBCL And View Important Safety Info. Any</v>
      </c>
      <c r="CK23" s="219" t="str">
        <f>VLOOKUP(CJ23,'ATP - RSAs'!$O:$O,1,FALSE)</f>
        <v>Discover A Fixed-Duration Treatment Option For 3L+ DLBCL And View Important Safety Info. Any</v>
      </c>
      <c r="CL23" s="218" t="s">
        <v>65</v>
      </c>
      <c r="CM23" s="218" t="str">
        <f>IFERROR(VLOOKUP(CL23,'ATP - RSAs'!$F:$F,1,FALSE),"#N/A")</f>
        <v>Download The Patient Brochure To Learn More About A DLBCL Fixed-Duration Treatment.</v>
      </c>
      <c r="CN23" s="219" t="s">
        <v>64</v>
      </c>
      <c r="CO23" s="219" t="str">
        <f>IFERROR(VLOOKUP(CN23,'ATP - RSAs'!$H:$H,1,FALSE),"#N/A")</f>
        <v>Any</v>
      </c>
      <c r="CP23" s="219" t="str">
        <f t="shared" si="15"/>
        <v>Download The Patient Brochure To Learn More About A DLBCL Fixed-Duration Treatment. Any</v>
      </c>
      <c r="CQ23" s="219" t="str">
        <f>VLOOKUP(CP23,'ATP - RSAs'!$O:$O,1,FALSE)</f>
        <v>Download The Patient Brochure To Learn More About A DLBCL Fixed-Duration Treatment. Any</v>
      </c>
      <c r="CR23" s="218" t="s">
        <v>66</v>
      </c>
      <c r="CS23" s="218" t="str">
        <f>IFERROR(VLOOKUP(CR23,'ATP - RSAs'!$F:$F,1,FALSE),"#N/A")</f>
        <v>Explore An Infusion Option For Diffuse Large B Cell Lymphoma &amp; View Clinical Results.</v>
      </c>
      <c r="CT23" s="219" t="s">
        <v>64</v>
      </c>
      <c r="CU23" s="219" t="str">
        <f>IFERROR(VLOOKUP(CT23,'ATP - RSAs'!$H:$H,1,FALSE),"#N/A")</f>
        <v>Any</v>
      </c>
      <c r="CV23" s="219" t="str">
        <f t="shared" si="16"/>
        <v>Explore An Infusion Option For Diffuse Large B Cell Lymphoma &amp; View Clinical Results. Any</v>
      </c>
      <c r="CW23" s="219" t="str">
        <f>VLOOKUP(CV23,'ATP - RSAs'!$O:$O,1,FALSE)</f>
        <v>Explore An Infusion Option For Diffuse Large B Cell Lymphoma &amp; View Clinical Results. Any</v>
      </c>
      <c r="CX23" s="218" t="s">
        <v>74</v>
      </c>
      <c r="CY23" s="218" t="str">
        <f>IFERROR(VLOOKUP(CX23,'ATP - RSAs'!$F:$F,1,FALSE),"#N/A")</f>
        <v>Learn More About Starting Treatment For 3L+ DLBCL After Two Or More Prior Therapies.</v>
      </c>
      <c r="CZ23" s="219" t="s">
        <v>64</v>
      </c>
      <c r="DA23" s="219" t="str">
        <f>IFERROR(VLOOKUP(CZ23,'ATP - RSAs'!$H:$H,1,FALSE),"#N/A")</f>
        <v>Any</v>
      </c>
      <c r="DB23" s="219" t="str">
        <f t="shared" si="17"/>
        <v>Learn More About Starting Treatment For 3L+ DLBCL After Two Or More Prior Therapies. Any</v>
      </c>
      <c r="DC23" s="219" t="str">
        <f>VLOOKUP(DB23,'ATP - RSAs'!$O:$O,1,FALSE)</f>
        <v>Learn More About Starting Treatment For 3L+ DLBCL After Two Or More Prior Therapies. Any</v>
      </c>
      <c r="DD23" s="218" t="s">
        <v>309</v>
      </c>
      <c r="DE23" s="218" t="s">
        <v>107</v>
      </c>
    </row>
  </sheetData>
  <autoFilter ref="A1:DE23" xr:uid="{00000000-0001-0000-0600-000000000000}">
    <filterColumn colId="108">
      <customFilters>
        <customFilter val="**"/>
      </custom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251E-B2A4-4218-9FF3-0CFF296D916C}">
  <sheetPr codeName="Sheet4"/>
  <dimension ref="A1:O183"/>
  <sheetViews>
    <sheetView topLeftCell="A7" workbookViewId="0">
      <selection activeCell="F11" sqref="F11"/>
    </sheetView>
  </sheetViews>
  <sheetFormatPr defaultColWidth="13" defaultRowHeight="14.4" x14ac:dyDescent="0.3"/>
  <cols>
    <col min="1" max="1" width="32" style="12" customWidth="1"/>
    <col min="2" max="2" width="47.109375" style="12" customWidth="1"/>
    <col min="3" max="3" width="42.88671875" style="12" customWidth="1"/>
    <col min="4" max="5" width="8.44140625" style="12" customWidth="1"/>
    <col min="6" max="6" width="104.77734375" style="12" customWidth="1"/>
    <col min="7" max="7" width="10.77734375" style="12" customWidth="1"/>
    <col min="8" max="8" width="8.44140625" style="12" customWidth="1"/>
    <col min="9" max="9" width="72.88671875" style="12" customWidth="1"/>
    <col min="10" max="10" width="18" style="12" bestFit="1" customWidth="1"/>
    <col min="11" max="11" width="14.77734375" style="12" bestFit="1" customWidth="1"/>
    <col min="12" max="12" width="18" style="12" bestFit="1" customWidth="1"/>
    <col min="13" max="13" width="8.21875" style="12" bestFit="1" customWidth="1"/>
    <col min="14" max="14" width="54.109375" style="12" customWidth="1"/>
    <col min="15" max="15" width="42.44140625" style="12" customWidth="1"/>
    <col min="16" max="16384" width="13" style="12"/>
  </cols>
  <sheetData>
    <row r="1" spans="1:15" ht="15" customHeight="1" x14ac:dyDescent="0.3">
      <c r="A1" s="8" t="s">
        <v>352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10"/>
      <c r="N1" s="11"/>
      <c r="O1" s="11"/>
    </row>
    <row r="2" spans="1:15" ht="22.5" customHeight="1" thickBot="1" x14ac:dyDescent="0.35">
      <c r="A2" s="13" t="s">
        <v>353</v>
      </c>
      <c r="B2" s="14"/>
      <c r="C2" s="14"/>
      <c r="D2" s="14"/>
      <c r="E2" s="14"/>
      <c r="F2" s="14"/>
      <c r="G2" s="14"/>
      <c r="H2" s="14"/>
      <c r="I2" s="14"/>
      <c r="J2" s="15"/>
      <c r="K2" s="16"/>
      <c r="L2" s="16"/>
      <c r="M2" s="17"/>
      <c r="N2" s="11"/>
      <c r="O2" s="11"/>
    </row>
    <row r="3" spans="1:15" ht="15.75" customHeight="1" thickBot="1" x14ac:dyDescent="0.35">
      <c r="A3" s="13" t="s">
        <v>354</v>
      </c>
      <c r="B3" s="14"/>
      <c r="C3" s="14"/>
      <c r="D3" s="14"/>
      <c r="E3" s="14"/>
      <c r="F3" s="14"/>
      <c r="G3" s="18"/>
      <c r="H3" s="18"/>
      <c r="I3" s="18"/>
      <c r="J3" s="19"/>
      <c r="K3" s="20"/>
      <c r="L3" s="20"/>
      <c r="M3" s="21"/>
      <c r="N3" s="11"/>
      <c r="O3" s="11"/>
    </row>
    <row r="4" spans="1:15" ht="18" customHeight="1" thickBot="1" x14ac:dyDescent="0.35">
      <c r="A4" s="22"/>
      <c r="B4" s="14"/>
      <c r="C4" s="14"/>
      <c r="D4" s="14"/>
      <c r="E4" s="23"/>
      <c r="F4" s="23"/>
      <c r="G4" s="18"/>
      <c r="H4" s="24" t="s">
        <v>355</v>
      </c>
      <c r="I4" s="24" t="s">
        <v>356</v>
      </c>
      <c r="J4" s="25"/>
      <c r="K4" s="26"/>
      <c r="L4" s="26"/>
      <c r="M4" s="27"/>
      <c r="N4" s="11"/>
      <c r="O4" s="11"/>
    </row>
    <row r="5" spans="1:15" ht="20.100000000000001" customHeight="1" thickBot="1" x14ac:dyDescent="0.35">
      <c r="A5" s="28"/>
      <c r="B5" s="14"/>
      <c r="C5" s="14"/>
      <c r="D5" s="14"/>
      <c r="E5" s="23"/>
      <c r="F5" s="23"/>
      <c r="G5" s="18"/>
      <c r="H5" s="29" t="s">
        <v>357</v>
      </c>
      <c r="I5" s="30" t="s">
        <v>68</v>
      </c>
      <c r="J5" s="31"/>
      <c r="K5" s="32"/>
      <c r="L5" s="32"/>
      <c r="M5" s="33"/>
      <c r="N5" s="11"/>
      <c r="O5" s="11"/>
    </row>
    <row r="6" spans="1:15" ht="18" customHeight="1" thickBot="1" x14ac:dyDescent="0.35">
      <c r="A6" s="34" t="s">
        <v>358</v>
      </c>
      <c r="B6" s="35"/>
      <c r="C6" s="18"/>
      <c r="D6" s="18"/>
      <c r="E6" s="36"/>
      <c r="F6" s="36"/>
      <c r="G6" s="14"/>
      <c r="H6" s="29" t="s">
        <v>359</v>
      </c>
      <c r="I6" s="37" t="s">
        <v>309</v>
      </c>
      <c r="J6" s="31"/>
      <c r="K6" s="32"/>
      <c r="L6" s="32"/>
      <c r="M6" s="33"/>
      <c r="N6" s="11"/>
      <c r="O6" s="11"/>
    </row>
    <row r="7" spans="1:15" ht="23.55" customHeight="1" thickBot="1" x14ac:dyDescent="0.35">
      <c r="A7" s="38" t="s">
        <v>360</v>
      </c>
      <c r="B7" s="39"/>
      <c r="C7" s="39"/>
      <c r="D7" s="39"/>
      <c r="E7" s="40"/>
      <c r="F7" s="41"/>
      <c r="G7" s="42"/>
      <c r="H7" s="43"/>
      <c r="I7" s="44"/>
      <c r="J7" s="45"/>
      <c r="K7" s="46"/>
      <c r="L7" s="46"/>
      <c r="M7" s="47"/>
      <c r="N7" s="11"/>
      <c r="O7" s="11"/>
    </row>
    <row r="8" spans="1:15" ht="25.05" customHeight="1" thickBot="1" x14ac:dyDescent="0.35">
      <c r="A8" s="48" t="s">
        <v>361</v>
      </c>
      <c r="B8" s="14"/>
      <c r="C8" s="14"/>
      <c r="D8" s="14"/>
      <c r="E8" s="49"/>
      <c r="F8" s="50"/>
      <c r="G8" s="42"/>
      <c r="H8" s="43"/>
      <c r="I8" s="43"/>
      <c r="J8" s="19"/>
      <c r="K8" s="20"/>
      <c r="L8" s="20"/>
      <c r="M8" s="21"/>
      <c r="N8" s="11"/>
      <c r="O8" s="11"/>
    </row>
    <row r="9" spans="1:15" ht="26.55" customHeight="1" thickBot="1" x14ac:dyDescent="0.35">
      <c r="A9" s="48" t="s">
        <v>362</v>
      </c>
      <c r="B9" s="14"/>
      <c r="C9" s="14"/>
      <c r="D9" s="14"/>
      <c r="E9" s="49"/>
      <c r="F9" s="50"/>
      <c r="G9" s="49"/>
      <c r="H9" s="14"/>
      <c r="I9" s="14"/>
      <c r="J9" s="19"/>
      <c r="K9" s="20"/>
      <c r="L9" s="20"/>
      <c r="M9" s="21"/>
      <c r="N9" s="11"/>
      <c r="O9" s="11"/>
    </row>
    <row r="10" spans="1:15" ht="31.05" customHeight="1" thickBot="1" x14ac:dyDescent="0.35">
      <c r="A10" s="48" t="s">
        <v>363</v>
      </c>
      <c r="B10" s="14"/>
      <c r="C10" s="51"/>
      <c r="D10" s="51"/>
      <c r="E10" s="52"/>
      <c r="F10" s="53"/>
      <c r="G10" s="54"/>
      <c r="H10" s="55"/>
      <c r="I10" s="55"/>
      <c r="J10" s="56"/>
      <c r="K10" s="57"/>
      <c r="L10" s="57"/>
      <c r="M10" s="58"/>
      <c r="N10" s="11"/>
      <c r="O10" s="11"/>
    </row>
    <row r="11" spans="1:15" ht="33.6" customHeight="1" thickBot="1" x14ac:dyDescent="0.35">
      <c r="A11" s="48" t="s">
        <v>364</v>
      </c>
      <c r="B11" s="14"/>
      <c r="C11" s="51"/>
      <c r="D11" s="51"/>
      <c r="E11" s="52"/>
      <c r="F11" s="53"/>
      <c r="G11" s="54"/>
      <c r="H11" s="55"/>
      <c r="I11" s="55"/>
      <c r="J11" s="56"/>
      <c r="K11" s="57"/>
      <c r="L11" s="57"/>
      <c r="M11" s="58"/>
      <c r="N11" s="11"/>
      <c r="O11" s="11"/>
    </row>
    <row r="12" spans="1:15" ht="30.6" customHeight="1" thickBot="1" x14ac:dyDescent="0.35">
      <c r="A12" s="59" t="s">
        <v>365</v>
      </c>
      <c r="B12" s="18"/>
      <c r="C12" s="60"/>
      <c r="D12" s="60"/>
      <c r="E12" s="52"/>
      <c r="F12" s="61"/>
      <c r="G12" s="62"/>
      <c r="H12" s="63"/>
      <c r="I12" s="63"/>
      <c r="J12" s="64"/>
      <c r="K12" s="65"/>
      <c r="L12" s="65"/>
      <c r="M12" s="66"/>
      <c r="N12" s="11"/>
      <c r="O12" s="11"/>
    </row>
    <row r="13" spans="1:15" ht="19.5" customHeight="1" thickBot="1" x14ac:dyDescent="0.35">
      <c r="A13" s="59" t="s">
        <v>366</v>
      </c>
      <c r="B13" s="18"/>
      <c r="C13" s="60"/>
      <c r="D13" s="60"/>
      <c r="E13" s="52"/>
      <c r="F13" s="61">
        <v>1</v>
      </c>
      <c r="G13" s="62"/>
      <c r="H13" s="63"/>
      <c r="I13" s="63"/>
      <c r="J13" s="64"/>
      <c r="K13" s="65"/>
      <c r="L13" s="65"/>
      <c r="M13" s="66"/>
      <c r="N13" s="11"/>
      <c r="O13" s="11"/>
    </row>
    <row r="14" spans="1:15" ht="28.05" customHeight="1" x14ac:dyDescent="0.3">
      <c r="A14" s="67" t="s">
        <v>367</v>
      </c>
      <c r="B14" s="68"/>
      <c r="C14" s="69"/>
      <c r="D14" s="69"/>
      <c r="E14" s="70"/>
      <c r="F14" s="71"/>
      <c r="G14" s="62"/>
      <c r="H14" s="63"/>
      <c r="I14" s="63"/>
      <c r="J14" s="64"/>
      <c r="K14" s="65"/>
      <c r="L14" s="65"/>
      <c r="M14" s="66"/>
      <c r="N14" s="11"/>
      <c r="O14" s="11"/>
    </row>
    <row r="15" spans="1:15" ht="19.05" customHeight="1" x14ac:dyDescent="0.3">
      <c r="A15" s="72"/>
      <c r="B15" s="73"/>
      <c r="C15" s="74"/>
      <c r="D15" s="74"/>
      <c r="E15" s="74"/>
      <c r="F15" s="75"/>
      <c r="G15" s="63"/>
      <c r="H15" s="63"/>
      <c r="I15" s="63"/>
      <c r="J15" s="76"/>
      <c r="K15" s="76"/>
      <c r="L15" s="76"/>
      <c r="M15" s="77"/>
      <c r="N15" s="11"/>
      <c r="O15" s="11"/>
    </row>
    <row r="16" spans="1:15" x14ac:dyDescent="0.3">
      <c r="A16" s="232" t="s">
        <v>368</v>
      </c>
      <c r="B16" s="233"/>
      <c r="C16" s="233"/>
      <c r="D16" s="233"/>
      <c r="E16" s="233"/>
      <c r="F16" s="233"/>
      <c r="G16" s="233"/>
      <c r="H16" s="233"/>
      <c r="I16" s="233"/>
      <c r="J16" s="233"/>
      <c r="K16" s="233"/>
      <c r="L16" s="233"/>
      <c r="M16" s="234"/>
      <c r="N16" s="11"/>
      <c r="O16" s="11"/>
    </row>
    <row r="17" spans="1:15" ht="59.1" customHeight="1" x14ac:dyDescent="0.3">
      <c r="A17" s="78" t="s">
        <v>7</v>
      </c>
      <c r="B17" s="79" t="s">
        <v>8</v>
      </c>
      <c r="C17" s="79" t="s">
        <v>369</v>
      </c>
      <c r="D17" s="80" t="s">
        <v>370</v>
      </c>
      <c r="E17" s="80" t="s">
        <v>371</v>
      </c>
      <c r="F17" s="81" t="s">
        <v>372</v>
      </c>
      <c r="G17" s="82" t="s">
        <v>373</v>
      </c>
      <c r="H17" s="82" t="s">
        <v>371</v>
      </c>
      <c r="I17" s="81" t="s">
        <v>356</v>
      </c>
      <c r="J17" s="81" t="s">
        <v>374</v>
      </c>
      <c r="K17" s="83" t="s">
        <v>375</v>
      </c>
      <c r="L17" s="81" t="s">
        <v>376</v>
      </c>
      <c r="M17" s="84" t="s">
        <v>375</v>
      </c>
      <c r="N17" s="11"/>
      <c r="O17" s="11"/>
    </row>
    <row r="18" spans="1:15" ht="50.55" customHeight="1" thickBot="1" x14ac:dyDescent="0.35">
      <c r="A18" s="235" t="s">
        <v>377</v>
      </c>
      <c r="B18" s="236"/>
      <c r="C18" s="86" t="s">
        <v>378</v>
      </c>
      <c r="D18" s="85" t="s">
        <v>379</v>
      </c>
      <c r="E18" s="85"/>
      <c r="F18" s="87" t="s">
        <v>378</v>
      </c>
      <c r="G18" s="85" t="s">
        <v>379</v>
      </c>
      <c r="H18" s="85"/>
      <c r="I18" s="87" t="s">
        <v>378</v>
      </c>
      <c r="J18" s="88" t="s">
        <v>378</v>
      </c>
      <c r="K18" s="88" t="s">
        <v>379</v>
      </c>
      <c r="L18" s="88" t="s">
        <v>378</v>
      </c>
      <c r="M18" s="89" t="s">
        <v>379</v>
      </c>
      <c r="N18" s="210" t="s">
        <v>458</v>
      </c>
      <c r="O18" s="210" t="s">
        <v>459</v>
      </c>
    </row>
    <row r="19" spans="1:15" ht="15" customHeight="1" x14ac:dyDescent="0.3">
      <c r="A19" s="90" t="s">
        <v>46</v>
      </c>
      <c r="B19" s="91" t="s">
        <v>46</v>
      </c>
      <c r="C19" s="91" t="s">
        <v>49</v>
      </c>
      <c r="D19" s="91">
        <f t="shared" ref="D19:D183" si="0">30-LEN(C19)</f>
        <v>0</v>
      </c>
      <c r="E19" s="247">
        <v>1</v>
      </c>
      <c r="F19" s="93" t="s">
        <v>63</v>
      </c>
      <c r="G19" s="94">
        <f t="shared" ref="G19:G183" si="1">90-LEN(F19)</f>
        <v>2</v>
      </c>
      <c r="H19" s="92" t="s">
        <v>64</v>
      </c>
      <c r="I19" s="95" t="s">
        <v>380</v>
      </c>
      <c r="J19" s="11"/>
      <c r="K19" s="11"/>
      <c r="L19" s="11"/>
      <c r="M19" s="96"/>
      <c r="N19" s="11"/>
      <c r="O19" s="11" t="str">
        <f>CONCATENATE(F19," ",H19)</f>
        <v>Discover A Fixed-Duration Treatment Option For 3L+ DLBCL And View Important Safety Info. Any</v>
      </c>
    </row>
    <row r="20" spans="1:15" ht="15" customHeight="1" x14ac:dyDescent="0.3">
      <c r="A20" s="97" t="s">
        <v>46</v>
      </c>
      <c r="B20" s="98" t="s">
        <v>46</v>
      </c>
      <c r="C20" s="98" t="s">
        <v>50</v>
      </c>
      <c r="D20" s="98">
        <f t="shared" si="0"/>
        <v>1</v>
      </c>
      <c r="E20" s="92" t="s">
        <v>51</v>
      </c>
      <c r="F20" s="93" t="s">
        <v>65</v>
      </c>
      <c r="G20" s="99">
        <f t="shared" si="1"/>
        <v>7</v>
      </c>
      <c r="H20" s="100" t="s">
        <v>64</v>
      </c>
      <c r="I20" s="101" t="s">
        <v>380</v>
      </c>
      <c r="J20" s="11"/>
      <c r="K20" s="11"/>
      <c r="L20" s="11"/>
      <c r="M20" s="96"/>
      <c r="N20" s="11" t="str">
        <f t="shared" ref="N20:N83" si="2">CONCATENATE(A20," ",B20," ",C20," ",E20)</f>
        <v>Unbranded Condition Unbranded Condition Download The Patient Brochure 2 or 3</v>
      </c>
      <c r="O20" s="11" t="str">
        <f t="shared" ref="O20:O83" si="3">CONCATENATE(F20," ",H20)</f>
        <v>Download The Patient Brochure To Learn More About A DLBCL Fixed-Duration Treatment. Any</v>
      </c>
    </row>
    <row r="21" spans="1:15" ht="15" customHeight="1" x14ac:dyDescent="0.3">
      <c r="A21" s="97" t="s">
        <v>46</v>
      </c>
      <c r="B21" s="98" t="s">
        <v>46</v>
      </c>
      <c r="C21" s="98" t="s">
        <v>52</v>
      </c>
      <c r="D21" s="98">
        <f t="shared" si="0"/>
        <v>8</v>
      </c>
      <c r="E21" s="92" t="s">
        <v>51</v>
      </c>
      <c r="F21" s="102" t="s">
        <v>66</v>
      </c>
      <c r="G21" s="99">
        <f t="shared" si="1"/>
        <v>5</v>
      </c>
      <c r="H21" s="100" t="s">
        <v>64</v>
      </c>
      <c r="I21" s="95" t="s">
        <v>380</v>
      </c>
      <c r="J21" s="11"/>
      <c r="K21" s="11"/>
      <c r="L21" s="11"/>
      <c r="M21" s="96"/>
      <c r="N21" s="11" t="str">
        <f t="shared" si="2"/>
        <v>Unbranded Condition Unbranded Condition Resources For Patients 2 or 3</v>
      </c>
      <c r="O21" s="11" t="str">
        <f t="shared" si="3"/>
        <v>Explore An Infusion Option For Diffuse Large B Cell Lymphoma &amp; View Clinical Results. Any</v>
      </c>
    </row>
    <row r="22" spans="1:15" ht="15" customHeight="1" x14ac:dyDescent="0.3">
      <c r="A22" s="97" t="s">
        <v>46</v>
      </c>
      <c r="B22" s="98" t="s">
        <v>46</v>
      </c>
      <c r="C22" s="98" t="s">
        <v>53</v>
      </c>
      <c r="D22" s="98">
        <f t="shared" si="0"/>
        <v>2</v>
      </c>
      <c r="E22" s="92" t="s">
        <v>51</v>
      </c>
      <c r="F22" s="102" t="s">
        <v>67</v>
      </c>
      <c r="G22" s="99">
        <f t="shared" si="1"/>
        <v>7</v>
      </c>
      <c r="H22" s="103" t="s">
        <v>64</v>
      </c>
      <c r="I22" s="104" t="s">
        <v>380</v>
      </c>
      <c r="J22" s="11"/>
      <c r="K22" s="11"/>
      <c r="L22" s="11"/>
      <c r="M22" s="96"/>
      <c r="N22" s="11" t="str">
        <f t="shared" si="2"/>
        <v>Unbranded Condition Unbranded Condition Financial Assistance Options 2 or 3</v>
      </c>
      <c r="O22" s="11" t="str">
        <f t="shared" si="3"/>
        <v>Learn More About Starting Treatment For 3L+ DLBCL After Two Or More Prior Therapies Any</v>
      </c>
    </row>
    <row r="23" spans="1:15" ht="15" customHeight="1" x14ac:dyDescent="0.3">
      <c r="A23" s="97" t="s">
        <v>46</v>
      </c>
      <c r="B23" s="98" t="s">
        <v>46</v>
      </c>
      <c r="C23" s="105" t="s">
        <v>54</v>
      </c>
      <c r="D23" s="98">
        <f t="shared" si="0"/>
        <v>2</v>
      </c>
      <c r="E23" s="92" t="s">
        <v>51</v>
      </c>
      <c r="F23" s="106"/>
      <c r="G23" s="107">
        <f t="shared" si="1"/>
        <v>90</v>
      </c>
      <c r="H23" s="106"/>
      <c r="I23" s="106"/>
      <c r="J23" s="11"/>
      <c r="K23" s="11"/>
      <c r="L23" s="11"/>
      <c r="M23" s="96"/>
      <c r="N23" s="11" t="str">
        <f t="shared" si="2"/>
        <v>Unbranded Condition Unbranded Condition Important Safety Information 2 or 3</v>
      </c>
      <c r="O23" s="11" t="str">
        <f t="shared" si="3"/>
        <v xml:space="preserve"> </v>
      </c>
    </row>
    <row r="24" spans="1:15" ht="15" customHeight="1" x14ac:dyDescent="0.3">
      <c r="A24" s="97" t="s">
        <v>46</v>
      </c>
      <c r="B24" s="98" t="s">
        <v>46</v>
      </c>
      <c r="C24" s="98" t="s">
        <v>55</v>
      </c>
      <c r="D24" s="98">
        <f t="shared" si="0"/>
        <v>2</v>
      </c>
      <c r="E24" s="92" t="s">
        <v>51</v>
      </c>
      <c r="F24" s="106"/>
      <c r="G24" s="107">
        <f t="shared" si="1"/>
        <v>90</v>
      </c>
      <c r="H24" s="106"/>
      <c r="I24" s="106"/>
      <c r="J24" s="11"/>
      <c r="K24" s="11"/>
      <c r="L24" s="11"/>
      <c r="M24" s="96"/>
      <c r="N24" s="11" t="str">
        <f t="shared" si="2"/>
        <v>Unbranded Condition Unbranded Condition Questions To Ask Your Doctor 2 or 3</v>
      </c>
      <c r="O24" s="11" t="str">
        <f t="shared" si="3"/>
        <v xml:space="preserve"> </v>
      </c>
    </row>
    <row r="25" spans="1:15" ht="15" customHeight="1" x14ac:dyDescent="0.3">
      <c r="A25" s="97" t="s">
        <v>46</v>
      </c>
      <c r="B25" s="98" t="s">
        <v>46</v>
      </c>
      <c r="C25" s="98" t="s">
        <v>56</v>
      </c>
      <c r="D25" s="98">
        <f t="shared" si="0"/>
        <v>8</v>
      </c>
      <c r="E25" s="92" t="s">
        <v>51</v>
      </c>
      <c r="F25" s="106"/>
      <c r="G25" s="107">
        <f t="shared" si="1"/>
        <v>90</v>
      </c>
      <c r="H25" s="106"/>
      <c r="I25" s="106"/>
      <c r="J25" s="11"/>
      <c r="K25" s="11"/>
      <c r="L25" s="11"/>
      <c r="M25" s="96"/>
      <c r="N25" s="11" t="str">
        <f t="shared" si="2"/>
        <v>Unbranded Condition Unbranded Condition DLBCL Infusion Therapy 2 or 3</v>
      </c>
      <c r="O25" s="11" t="str">
        <f t="shared" si="3"/>
        <v xml:space="preserve"> </v>
      </c>
    </row>
    <row r="26" spans="1:15" ht="15" customHeight="1" x14ac:dyDescent="0.3">
      <c r="A26" s="97" t="s">
        <v>46</v>
      </c>
      <c r="B26" s="98" t="s">
        <v>46</v>
      </c>
      <c r="C26" s="98" t="s">
        <v>57</v>
      </c>
      <c r="D26" s="98">
        <f t="shared" si="0"/>
        <v>8</v>
      </c>
      <c r="E26" s="92" t="s">
        <v>51</v>
      </c>
      <c r="F26" s="106"/>
      <c r="G26" s="107">
        <f t="shared" si="1"/>
        <v>90</v>
      </c>
      <c r="H26" s="106"/>
      <c r="I26" s="106"/>
      <c r="J26" s="11"/>
      <c r="K26" s="11"/>
      <c r="L26" s="11"/>
      <c r="M26" s="96"/>
      <c r="N26" s="11" t="str">
        <f t="shared" si="2"/>
        <v>Unbranded Condition Unbranded Condition Clinical Trial Results 2 or 3</v>
      </c>
      <c r="O26" s="11" t="str">
        <f t="shared" si="3"/>
        <v xml:space="preserve"> </v>
      </c>
    </row>
    <row r="27" spans="1:15" ht="15" customHeight="1" x14ac:dyDescent="0.3">
      <c r="A27" s="97" t="s">
        <v>46</v>
      </c>
      <c r="B27" s="98" t="s">
        <v>46</v>
      </c>
      <c r="C27" s="98" t="s">
        <v>58</v>
      </c>
      <c r="D27" s="98">
        <f t="shared" si="0"/>
        <v>6</v>
      </c>
      <c r="E27" s="92" t="s">
        <v>51</v>
      </c>
      <c r="F27" s="106"/>
      <c r="G27" s="107">
        <f t="shared" si="1"/>
        <v>90</v>
      </c>
      <c r="H27" s="106"/>
      <c r="I27" s="106"/>
      <c r="J27" s="11"/>
      <c r="K27" s="11"/>
      <c r="L27" s="11"/>
      <c r="M27" s="96"/>
      <c r="N27" s="11" t="str">
        <f t="shared" si="2"/>
        <v>Unbranded Condition Unbranded Condition Information For Patients 2 or 3</v>
      </c>
      <c r="O27" s="11" t="str">
        <f t="shared" si="3"/>
        <v xml:space="preserve"> </v>
      </c>
    </row>
    <row r="28" spans="1:15" ht="15" customHeight="1" x14ac:dyDescent="0.3">
      <c r="A28" s="97" t="s">
        <v>46</v>
      </c>
      <c r="B28" s="98" t="s">
        <v>46</v>
      </c>
      <c r="C28" s="98" t="s">
        <v>59</v>
      </c>
      <c r="D28" s="98">
        <f t="shared" si="0"/>
        <v>1</v>
      </c>
      <c r="E28" s="92" t="s">
        <v>51</v>
      </c>
      <c r="F28" s="106"/>
      <c r="G28" s="107">
        <f t="shared" si="1"/>
        <v>90</v>
      </c>
      <c r="H28" s="106"/>
      <c r="I28" s="106"/>
      <c r="J28" s="11"/>
      <c r="K28" s="11"/>
      <c r="L28" s="11"/>
      <c r="M28" s="96"/>
      <c r="N28" s="11" t="str">
        <f t="shared" si="2"/>
        <v>Unbranded Condition Unbranded Condition Efficacy &amp; Safety Information 2 or 3</v>
      </c>
      <c r="O28" s="11" t="str">
        <f t="shared" si="3"/>
        <v xml:space="preserve"> </v>
      </c>
    </row>
    <row r="29" spans="1:15" ht="15" customHeight="1" x14ac:dyDescent="0.3">
      <c r="A29" s="97" t="s">
        <v>46</v>
      </c>
      <c r="B29" s="98" t="s">
        <v>46</v>
      </c>
      <c r="C29" s="98" t="s">
        <v>60</v>
      </c>
      <c r="D29" s="98">
        <f t="shared" si="0"/>
        <v>19</v>
      </c>
      <c r="E29" s="92" t="s">
        <v>51</v>
      </c>
      <c r="F29" s="106"/>
      <c r="G29" s="107">
        <f t="shared" si="1"/>
        <v>90</v>
      </c>
      <c r="H29" s="106"/>
      <c r="I29" s="106"/>
      <c r="J29" s="11"/>
      <c r="K29" s="11"/>
      <c r="L29" s="11"/>
      <c r="M29" s="96"/>
      <c r="N29" s="11" t="str">
        <f t="shared" si="2"/>
        <v>Unbranded Condition Unbranded Condition About DLBCL 2 or 3</v>
      </c>
      <c r="O29" s="11" t="str">
        <f t="shared" si="3"/>
        <v xml:space="preserve"> </v>
      </c>
    </row>
    <row r="30" spans="1:15" ht="15" customHeight="1" x14ac:dyDescent="0.3">
      <c r="A30" s="97" t="s">
        <v>46</v>
      </c>
      <c r="B30" s="98" t="s">
        <v>46</v>
      </c>
      <c r="C30" s="98" t="s">
        <v>61</v>
      </c>
      <c r="D30" s="98">
        <f t="shared" si="0"/>
        <v>3</v>
      </c>
      <c r="E30" s="92" t="s">
        <v>51</v>
      </c>
      <c r="F30" s="106"/>
      <c r="G30" s="107">
        <f t="shared" si="1"/>
        <v>90</v>
      </c>
      <c r="H30" s="106"/>
      <c r="I30" s="106"/>
      <c r="J30" s="11"/>
      <c r="K30" s="11"/>
      <c r="L30" s="11"/>
      <c r="M30" s="96"/>
      <c r="N30" s="11" t="str">
        <f t="shared" si="2"/>
        <v>Unbranded Condition Unbranded Condition 3L+ DLBCL Treatment Support 2 or 3</v>
      </c>
      <c r="O30" s="11" t="str">
        <f t="shared" si="3"/>
        <v xml:space="preserve"> </v>
      </c>
    </row>
    <row r="31" spans="1:15" ht="15" customHeight="1" x14ac:dyDescent="0.3">
      <c r="A31" s="97" t="s">
        <v>46</v>
      </c>
      <c r="B31" s="98" t="s">
        <v>46</v>
      </c>
      <c r="C31" s="98" t="s">
        <v>62</v>
      </c>
      <c r="D31" s="98">
        <f t="shared" si="0"/>
        <v>3</v>
      </c>
      <c r="E31" s="92" t="s">
        <v>51</v>
      </c>
      <c r="F31" s="106"/>
      <c r="G31" s="107">
        <f t="shared" si="1"/>
        <v>90</v>
      </c>
      <c r="H31" s="106"/>
      <c r="I31" s="106"/>
      <c r="J31" s="11"/>
      <c r="K31" s="11"/>
      <c r="L31" s="11"/>
      <c r="M31" s="96"/>
      <c r="N31" s="11" t="str">
        <f t="shared" si="2"/>
        <v>Unbranded Condition Unbranded Condition 3L+ DLBCL Patient Resources 2 or 3</v>
      </c>
      <c r="O31" s="11" t="str">
        <f t="shared" si="3"/>
        <v xml:space="preserve"> </v>
      </c>
    </row>
    <row r="32" spans="1:15" ht="15" customHeight="1" x14ac:dyDescent="0.3">
      <c r="A32" s="97" t="s">
        <v>46</v>
      </c>
      <c r="B32" s="98" t="s">
        <v>46</v>
      </c>
      <c r="C32" s="98" t="s">
        <v>381</v>
      </c>
      <c r="D32" s="98">
        <f t="shared" si="0"/>
        <v>4</v>
      </c>
      <c r="E32" s="92" t="s">
        <v>51</v>
      </c>
      <c r="F32" s="106"/>
      <c r="G32" s="107">
        <f t="shared" si="1"/>
        <v>90</v>
      </c>
      <c r="H32" s="106"/>
      <c r="I32" s="106"/>
      <c r="J32" s="11"/>
      <c r="K32" s="11"/>
      <c r="L32" s="11"/>
      <c r="M32" s="96"/>
      <c r="N32" s="11" t="str">
        <f t="shared" si="2"/>
        <v>Unbranded Condition Unbranded Condition A Fixed-Duration Treatment 2 or 3</v>
      </c>
      <c r="O32" s="11" t="str">
        <f t="shared" si="3"/>
        <v xml:space="preserve"> </v>
      </c>
    </row>
    <row r="33" spans="1:15" ht="15" customHeight="1" x14ac:dyDescent="0.3">
      <c r="A33" s="97" t="s">
        <v>46</v>
      </c>
      <c r="B33" s="98" t="s">
        <v>46</v>
      </c>
      <c r="C33" s="98" t="s">
        <v>72</v>
      </c>
      <c r="D33" s="98">
        <f t="shared" si="0"/>
        <v>1</v>
      </c>
      <c r="E33" s="92" t="s">
        <v>51</v>
      </c>
      <c r="F33" s="106"/>
      <c r="G33" s="107">
        <f t="shared" si="1"/>
        <v>90</v>
      </c>
      <c r="H33" s="106"/>
      <c r="I33" s="106"/>
      <c r="J33" s="11"/>
      <c r="K33" s="11"/>
      <c r="L33" s="11"/>
      <c r="M33" s="96"/>
      <c r="N33" s="11" t="str">
        <f t="shared" si="2"/>
        <v>Unbranded Condition Unbranded Condition Diffuse Large B-Cell Lymphoma 2 or 3</v>
      </c>
      <c r="O33" s="11" t="str">
        <f t="shared" si="3"/>
        <v xml:space="preserve"> </v>
      </c>
    </row>
    <row r="34" spans="1:15" ht="15" customHeight="1" x14ac:dyDescent="0.3">
      <c r="A34" s="97" t="s">
        <v>46</v>
      </c>
      <c r="B34" s="98" t="s">
        <v>71</v>
      </c>
      <c r="C34" s="98" t="s">
        <v>49</v>
      </c>
      <c r="D34" s="98">
        <f t="shared" si="0"/>
        <v>0</v>
      </c>
      <c r="E34" s="92">
        <v>1</v>
      </c>
      <c r="F34" s="93" t="s">
        <v>63</v>
      </c>
      <c r="G34" s="99">
        <f t="shared" si="1"/>
        <v>2</v>
      </c>
      <c r="H34" s="100" t="s">
        <v>64</v>
      </c>
      <c r="I34" s="95" t="s">
        <v>380</v>
      </c>
      <c r="J34" s="11"/>
      <c r="K34" s="11"/>
      <c r="L34" s="11"/>
      <c r="M34" s="96"/>
      <c r="N34" s="11" t="str">
        <f t="shared" si="2"/>
        <v>Unbranded Condition Unbranded DLBCL Causes Treatment Option For 3L+ DLBCL 1</v>
      </c>
      <c r="O34" s="11" t="str">
        <f t="shared" si="3"/>
        <v>Discover A Fixed-Duration Treatment Option For 3L+ DLBCL And View Important Safety Info. Any</v>
      </c>
    </row>
    <row r="35" spans="1:15" ht="15" customHeight="1" x14ac:dyDescent="0.3">
      <c r="A35" s="97" t="s">
        <v>46</v>
      </c>
      <c r="B35" s="98" t="s">
        <v>71</v>
      </c>
      <c r="C35" s="98" t="s">
        <v>50</v>
      </c>
      <c r="D35" s="98">
        <f t="shared" si="0"/>
        <v>1</v>
      </c>
      <c r="E35" s="92" t="s">
        <v>51</v>
      </c>
      <c r="F35" s="93" t="s">
        <v>65</v>
      </c>
      <c r="G35" s="99">
        <f t="shared" si="1"/>
        <v>7</v>
      </c>
      <c r="H35" s="100" t="s">
        <v>64</v>
      </c>
      <c r="I35" s="101" t="s">
        <v>380</v>
      </c>
      <c r="J35" s="11"/>
      <c r="K35" s="11"/>
      <c r="L35" s="11"/>
      <c r="M35" s="96"/>
      <c r="N35" s="11" t="str">
        <f t="shared" si="2"/>
        <v>Unbranded Condition Unbranded DLBCL Causes Download The Patient Brochure 2 or 3</v>
      </c>
      <c r="O35" s="11" t="str">
        <f t="shared" si="3"/>
        <v>Download The Patient Brochure To Learn More About A DLBCL Fixed-Duration Treatment. Any</v>
      </c>
    </row>
    <row r="36" spans="1:15" ht="15" customHeight="1" x14ac:dyDescent="0.3">
      <c r="A36" s="97" t="s">
        <v>46</v>
      </c>
      <c r="B36" s="98" t="s">
        <v>71</v>
      </c>
      <c r="C36" s="98" t="s">
        <v>52</v>
      </c>
      <c r="D36" s="98">
        <f t="shared" si="0"/>
        <v>8</v>
      </c>
      <c r="E36" s="92" t="s">
        <v>51</v>
      </c>
      <c r="F36" s="102" t="s">
        <v>66</v>
      </c>
      <c r="G36" s="99">
        <f t="shared" si="1"/>
        <v>5</v>
      </c>
      <c r="H36" s="100" t="s">
        <v>64</v>
      </c>
      <c r="I36" s="95" t="s">
        <v>380</v>
      </c>
      <c r="J36" s="11"/>
      <c r="K36" s="11"/>
      <c r="L36" s="11"/>
      <c r="M36" s="96"/>
      <c r="N36" s="11" t="str">
        <f t="shared" si="2"/>
        <v>Unbranded Condition Unbranded DLBCL Causes Resources For Patients 2 or 3</v>
      </c>
      <c r="O36" s="11" t="str">
        <f t="shared" si="3"/>
        <v>Explore An Infusion Option For Diffuse Large B Cell Lymphoma &amp; View Clinical Results. Any</v>
      </c>
    </row>
    <row r="37" spans="1:15" ht="15" customHeight="1" x14ac:dyDescent="0.3">
      <c r="A37" s="97" t="s">
        <v>46</v>
      </c>
      <c r="B37" s="98" t="s">
        <v>71</v>
      </c>
      <c r="C37" s="105" t="s">
        <v>53</v>
      </c>
      <c r="D37" s="98">
        <f t="shared" si="0"/>
        <v>2</v>
      </c>
      <c r="E37" s="92" t="s">
        <v>51</v>
      </c>
      <c r="F37" s="108" t="s">
        <v>74</v>
      </c>
      <c r="G37" s="99">
        <f t="shared" si="1"/>
        <v>6</v>
      </c>
      <c r="H37" s="103" t="s">
        <v>64</v>
      </c>
      <c r="I37" s="95" t="s">
        <v>380</v>
      </c>
      <c r="J37" s="11"/>
      <c r="K37" s="11"/>
      <c r="L37" s="11"/>
      <c r="M37" s="96"/>
      <c r="N37" s="11" t="str">
        <f t="shared" si="2"/>
        <v>Unbranded Condition Unbranded DLBCL Causes Financial Assistance Options 2 or 3</v>
      </c>
      <c r="O37" s="11" t="str">
        <f t="shared" si="3"/>
        <v>Learn More About Starting Treatment For 3L+ DLBCL After Two Or More Prior Therapies. Any</v>
      </c>
    </row>
    <row r="38" spans="1:15" ht="15" customHeight="1" x14ac:dyDescent="0.3">
      <c r="A38" s="97" t="s">
        <v>46</v>
      </c>
      <c r="B38" s="98" t="s">
        <v>71</v>
      </c>
      <c r="C38" s="105" t="s">
        <v>54</v>
      </c>
      <c r="D38" s="98">
        <f t="shared" si="0"/>
        <v>2</v>
      </c>
      <c r="E38" s="92" t="s">
        <v>51</v>
      </c>
      <c r="F38" s="106"/>
      <c r="G38" s="99">
        <f t="shared" si="1"/>
        <v>90</v>
      </c>
      <c r="H38" s="106"/>
      <c r="I38" s="106"/>
      <c r="J38" s="11"/>
      <c r="K38" s="11"/>
      <c r="L38" s="11"/>
      <c r="M38" s="96"/>
      <c r="N38" s="11" t="str">
        <f t="shared" si="2"/>
        <v>Unbranded Condition Unbranded DLBCL Causes Important Safety Information 2 or 3</v>
      </c>
      <c r="O38" s="11" t="str">
        <f t="shared" si="3"/>
        <v xml:space="preserve"> </v>
      </c>
    </row>
    <row r="39" spans="1:15" ht="15" customHeight="1" x14ac:dyDescent="0.3">
      <c r="A39" s="97" t="s">
        <v>46</v>
      </c>
      <c r="B39" s="98" t="s">
        <v>71</v>
      </c>
      <c r="C39" s="105" t="s">
        <v>55</v>
      </c>
      <c r="D39" s="98">
        <f t="shared" si="0"/>
        <v>2</v>
      </c>
      <c r="E39" s="92" t="s">
        <v>51</v>
      </c>
      <c r="F39" s="106"/>
      <c r="G39" s="99">
        <f t="shared" si="1"/>
        <v>90</v>
      </c>
      <c r="H39" s="106"/>
      <c r="I39" s="106"/>
      <c r="J39" s="11"/>
      <c r="K39" s="11"/>
      <c r="L39" s="11"/>
      <c r="M39" s="96"/>
      <c r="N39" s="11" t="str">
        <f t="shared" si="2"/>
        <v>Unbranded Condition Unbranded DLBCL Causes Questions To Ask Your Doctor 2 or 3</v>
      </c>
      <c r="O39" s="11" t="str">
        <f t="shared" si="3"/>
        <v xml:space="preserve"> </v>
      </c>
    </row>
    <row r="40" spans="1:15" ht="15" customHeight="1" x14ac:dyDescent="0.3">
      <c r="A40" s="97" t="s">
        <v>46</v>
      </c>
      <c r="B40" s="98" t="s">
        <v>71</v>
      </c>
      <c r="C40" s="105" t="s">
        <v>56</v>
      </c>
      <c r="D40" s="98">
        <f t="shared" si="0"/>
        <v>8</v>
      </c>
      <c r="E40" s="92" t="s">
        <v>51</v>
      </c>
      <c r="F40" s="106"/>
      <c r="G40" s="99">
        <f t="shared" si="1"/>
        <v>90</v>
      </c>
      <c r="H40" s="106"/>
      <c r="I40" s="106"/>
      <c r="J40" s="11"/>
      <c r="K40" s="11"/>
      <c r="L40" s="11"/>
      <c r="M40" s="96"/>
      <c r="N40" s="11" t="str">
        <f t="shared" si="2"/>
        <v>Unbranded Condition Unbranded DLBCL Causes DLBCL Infusion Therapy 2 or 3</v>
      </c>
      <c r="O40" s="11" t="str">
        <f t="shared" si="3"/>
        <v xml:space="preserve"> </v>
      </c>
    </row>
    <row r="41" spans="1:15" ht="15" customHeight="1" x14ac:dyDescent="0.3">
      <c r="A41" s="97" t="s">
        <v>46</v>
      </c>
      <c r="B41" s="98" t="s">
        <v>71</v>
      </c>
      <c r="C41" s="105" t="s">
        <v>57</v>
      </c>
      <c r="D41" s="98">
        <f t="shared" si="0"/>
        <v>8</v>
      </c>
      <c r="E41" s="92" t="s">
        <v>51</v>
      </c>
      <c r="F41" s="106"/>
      <c r="G41" s="99">
        <f t="shared" si="1"/>
        <v>90</v>
      </c>
      <c r="H41" s="106"/>
      <c r="I41" s="106"/>
      <c r="J41" s="11"/>
      <c r="K41" s="11"/>
      <c r="L41" s="11"/>
      <c r="M41" s="96"/>
      <c r="N41" s="11" t="str">
        <f t="shared" si="2"/>
        <v>Unbranded Condition Unbranded DLBCL Causes Clinical Trial Results 2 or 3</v>
      </c>
      <c r="O41" s="11" t="str">
        <f t="shared" si="3"/>
        <v xml:space="preserve"> </v>
      </c>
    </row>
    <row r="42" spans="1:15" ht="15" customHeight="1" x14ac:dyDescent="0.3">
      <c r="A42" s="97" t="s">
        <v>46</v>
      </c>
      <c r="B42" s="98" t="s">
        <v>71</v>
      </c>
      <c r="C42" s="98" t="s">
        <v>58</v>
      </c>
      <c r="D42" s="98">
        <f t="shared" si="0"/>
        <v>6</v>
      </c>
      <c r="E42" s="92" t="s">
        <v>51</v>
      </c>
      <c r="F42" s="106"/>
      <c r="G42" s="99">
        <f t="shared" si="1"/>
        <v>90</v>
      </c>
      <c r="H42" s="106"/>
      <c r="I42" s="106"/>
      <c r="J42" s="11"/>
      <c r="K42" s="11"/>
      <c r="L42" s="11"/>
      <c r="M42" s="96"/>
      <c r="N42" s="11" t="str">
        <f t="shared" si="2"/>
        <v>Unbranded Condition Unbranded DLBCL Causes Information For Patients 2 or 3</v>
      </c>
      <c r="O42" s="11" t="str">
        <f t="shared" si="3"/>
        <v xml:space="preserve"> </v>
      </c>
    </row>
    <row r="43" spans="1:15" ht="15" customHeight="1" x14ac:dyDescent="0.3">
      <c r="A43" s="97" t="s">
        <v>46</v>
      </c>
      <c r="B43" s="98" t="s">
        <v>71</v>
      </c>
      <c r="C43" s="98" t="s">
        <v>59</v>
      </c>
      <c r="D43" s="98">
        <f t="shared" si="0"/>
        <v>1</v>
      </c>
      <c r="E43" s="92" t="s">
        <v>51</v>
      </c>
      <c r="F43" s="106"/>
      <c r="G43" s="99">
        <f t="shared" si="1"/>
        <v>90</v>
      </c>
      <c r="H43" s="106"/>
      <c r="I43" s="106"/>
      <c r="J43" s="11"/>
      <c r="K43" s="11"/>
      <c r="L43" s="11"/>
      <c r="M43" s="96"/>
      <c r="N43" s="11" t="str">
        <f t="shared" si="2"/>
        <v>Unbranded Condition Unbranded DLBCL Causes Efficacy &amp; Safety Information 2 or 3</v>
      </c>
      <c r="O43" s="11" t="str">
        <f t="shared" si="3"/>
        <v xml:space="preserve"> </v>
      </c>
    </row>
    <row r="44" spans="1:15" ht="15" customHeight="1" x14ac:dyDescent="0.3">
      <c r="A44" s="97" t="s">
        <v>46</v>
      </c>
      <c r="B44" s="98" t="s">
        <v>71</v>
      </c>
      <c r="C44" s="98" t="s">
        <v>72</v>
      </c>
      <c r="D44" s="98">
        <f t="shared" si="0"/>
        <v>1</v>
      </c>
      <c r="E44" s="92" t="s">
        <v>51</v>
      </c>
      <c r="F44" s="106"/>
      <c r="G44" s="99">
        <f t="shared" si="1"/>
        <v>90</v>
      </c>
      <c r="H44" s="106"/>
      <c r="I44" s="106"/>
      <c r="J44" s="11"/>
      <c r="K44" s="11"/>
      <c r="L44" s="11"/>
      <c r="M44" s="96"/>
      <c r="N44" s="11" t="str">
        <f t="shared" si="2"/>
        <v>Unbranded Condition Unbranded DLBCL Causes Diffuse Large B-Cell Lymphoma 2 or 3</v>
      </c>
      <c r="O44" s="11" t="str">
        <f t="shared" si="3"/>
        <v xml:space="preserve"> </v>
      </c>
    </row>
    <row r="45" spans="1:15" ht="15" customHeight="1" x14ac:dyDescent="0.3">
      <c r="A45" s="97" t="s">
        <v>46</v>
      </c>
      <c r="B45" s="98" t="s">
        <v>71</v>
      </c>
      <c r="C45" s="98" t="s">
        <v>73</v>
      </c>
      <c r="D45" s="98">
        <f t="shared" si="0"/>
        <v>5</v>
      </c>
      <c r="E45" s="92" t="s">
        <v>51</v>
      </c>
      <c r="F45" s="106"/>
      <c r="G45" s="99">
        <f t="shared" si="1"/>
        <v>90</v>
      </c>
      <c r="H45" s="106"/>
      <c r="I45" s="106"/>
      <c r="J45" s="11"/>
      <c r="K45" s="11"/>
      <c r="L45" s="11"/>
      <c r="M45" s="96"/>
      <c r="N45" s="11" t="str">
        <f t="shared" si="2"/>
        <v>Unbranded Condition Unbranded DLBCL Causes DLBCL Clinical Study Data 2 or 3</v>
      </c>
      <c r="O45" s="11" t="str">
        <f t="shared" si="3"/>
        <v xml:space="preserve"> </v>
      </c>
    </row>
    <row r="46" spans="1:15" ht="15" customHeight="1" x14ac:dyDescent="0.3">
      <c r="A46" s="97" t="s">
        <v>46</v>
      </c>
      <c r="B46" s="98" t="s">
        <v>71</v>
      </c>
      <c r="C46" s="98" t="s">
        <v>60</v>
      </c>
      <c r="D46" s="98">
        <f t="shared" si="0"/>
        <v>19</v>
      </c>
      <c r="E46" s="92" t="s">
        <v>51</v>
      </c>
      <c r="F46" s="106"/>
      <c r="G46" s="99">
        <f t="shared" si="1"/>
        <v>90</v>
      </c>
      <c r="H46" s="106"/>
      <c r="I46" s="106"/>
      <c r="J46" s="11"/>
      <c r="K46" s="11"/>
      <c r="L46" s="11"/>
      <c r="M46" s="96"/>
      <c r="N46" s="11" t="str">
        <f t="shared" si="2"/>
        <v>Unbranded Condition Unbranded DLBCL Causes About DLBCL 2 or 3</v>
      </c>
      <c r="O46" s="11" t="str">
        <f t="shared" si="3"/>
        <v xml:space="preserve"> </v>
      </c>
    </row>
    <row r="47" spans="1:15" ht="15" customHeight="1" x14ac:dyDescent="0.3">
      <c r="A47" s="97" t="s">
        <v>46</v>
      </c>
      <c r="B47" s="98" t="s">
        <v>71</v>
      </c>
      <c r="C47" s="98" t="s">
        <v>99</v>
      </c>
      <c r="D47" s="98">
        <f t="shared" si="0"/>
        <v>16</v>
      </c>
      <c r="E47" s="92" t="s">
        <v>51</v>
      </c>
      <c r="F47" s="106"/>
      <c r="G47" s="99">
        <f t="shared" si="1"/>
        <v>90</v>
      </c>
      <c r="H47" s="106"/>
      <c r="I47" s="106"/>
      <c r="J47" s="11"/>
      <c r="K47" s="11"/>
      <c r="L47" s="11"/>
      <c r="M47" s="96"/>
      <c r="N47" s="11" t="str">
        <f t="shared" si="2"/>
        <v>Unbranded Condition Unbranded DLBCL Causes DLBCL Symptoms 2 or 3</v>
      </c>
      <c r="O47" s="11" t="str">
        <f t="shared" si="3"/>
        <v xml:space="preserve"> </v>
      </c>
    </row>
    <row r="48" spans="1:15" ht="15" customHeight="1" x14ac:dyDescent="0.3">
      <c r="A48" s="97" t="s">
        <v>46</v>
      </c>
      <c r="B48" s="98" t="s">
        <v>71</v>
      </c>
      <c r="C48" s="98" t="s">
        <v>382</v>
      </c>
      <c r="D48" s="98">
        <f t="shared" si="0"/>
        <v>6</v>
      </c>
      <c r="E48" s="92" t="s">
        <v>51</v>
      </c>
      <c r="F48" s="106"/>
      <c r="G48" s="99">
        <f t="shared" si="1"/>
        <v>90</v>
      </c>
      <c r="H48" s="106"/>
      <c r="I48" s="106"/>
      <c r="J48" s="11"/>
      <c r="K48" s="11"/>
      <c r="L48" s="11"/>
      <c r="M48" s="96"/>
      <c r="N48" s="11" t="str">
        <f t="shared" si="2"/>
        <v>Unbranded Condition Unbranded DLBCL Causes 3L+ DLBCL Treatment Info 2 or 3</v>
      </c>
      <c r="O48" s="11" t="str">
        <f t="shared" si="3"/>
        <v xml:space="preserve"> </v>
      </c>
    </row>
    <row r="49" spans="1:15" ht="15" customHeight="1" x14ac:dyDescent="0.3">
      <c r="A49" s="97" t="s">
        <v>46</v>
      </c>
      <c r="B49" s="98" t="s">
        <v>76</v>
      </c>
      <c r="C49" s="98" t="s">
        <v>49</v>
      </c>
      <c r="D49" s="98">
        <f t="shared" si="0"/>
        <v>0</v>
      </c>
      <c r="E49" s="92">
        <v>1</v>
      </c>
      <c r="F49" s="93" t="s">
        <v>63</v>
      </c>
      <c r="G49" s="99">
        <f t="shared" si="1"/>
        <v>2</v>
      </c>
      <c r="H49" s="100" t="s">
        <v>64</v>
      </c>
      <c r="I49" s="95" t="s">
        <v>380</v>
      </c>
      <c r="J49" s="11"/>
      <c r="K49" s="11"/>
      <c r="L49" s="11"/>
      <c r="M49" s="96"/>
      <c r="N49" s="11" t="str">
        <f t="shared" si="2"/>
        <v>Unbranded Condition Unbranded DLBCL Diagnosis Treatment Option For 3L+ DLBCL 1</v>
      </c>
      <c r="O49" s="11" t="str">
        <f t="shared" si="3"/>
        <v>Discover A Fixed-Duration Treatment Option For 3L+ DLBCL And View Important Safety Info. Any</v>
      </c>
    </row>
    <row r="50" spans="1:15" ht="15" customHeight="1" x14ac:dyDescent="0.3">
      <c r="A50" s="97" t="s">
        <v>46</v>
      </c>
      <c r="B50" s="98" t="s">
        <v>76</v>
      </c>
      <c r="C50" s="98" t="s">
        <v>50</v>
      </c>
      <c r="D50" s="98">
        <f t="shared" si="0"/>
        <v>1</v>
      </c>
      <c r="E50" s="92" t="s">
        <v>51</v>
      </c>
      <c r="F50" s="93" t="s">
        <v>65</v>
      </c>
      <c r="G50" s="99">
        <f t="shared" si="1"/>
        <v>7</v>
      </c>
      <c r="H50" s="100" t="s">
        <v>64</v>
      </c>
      <c r="I50" s="95" t="s">
        <v>380</v>
      </c>
      <c r="J50" s="11"/>
      <c r="K50" s="11"/>
      <c r="L50" s="11"/>
      <c r="M50" s="96"/>
      <c r="N50" s="11" t="str">
        <f t="shared" si="2"/>
        <v>Unbranded Condition Unbranded DLBCL Diagnosis Download The Patient Brochure 2 or 3</v>
      </c>
      <c r="O50" s="11" t="str">
        <f t="shared" si="3"/>
        <v>Download The Patient Brochure To Learn More About A DLBCL Fixed-Duration Treatment. Any</v>
      </c>
    </row>
    <row r="51" spans="1:15" ht="15" customHeight="1" x14ac:dyDescent="0.3">
      <c r="A51" s="97" t="s">
        <v>46</v>
      </c>
      <c r="B51" s="98" t="s">
        <v>76</v>
      </c>
      <c r="C51" s="98" t="s">
        <v>52</v>
      </c>
      <c r="D51" s="98">
        <f t="shared" si="0"/>
        <v>8</v>
      </c>
      <c r="E51" s="92" t="s">
        <v>51</v>
      </c>
      <c r="F51" s="102" t="s">
        <v>66</v>
      </c>
      <c r="G51" s="99">
        <f t="shared" si="1"/>
        <v>5</v>
      </c>
      <c r="H51" s="100" t="s">
        <v>64</v>
      </c>
      <c r="I51" s="101" t="s">
        <v>380</v>
      </c>
      <c r="J51" s="11"/>
      <c r="K51" s="11"/>
      <c r="L51" s="11"/>
      <c r="M51" s="96"/>
      <c r="N51" s="11" t="str">
        <f t="shared" si="2"/>
        <v>Unbranded Condition Unbranded DLBCL Diagnosis Resources For Patients 2 or 3</v>
      </c>
      <c r="O51" s="11" t="str">
        <f t="shared" si="3"/>
        <v>Explore An Infusion Option For Diffuse Large B Cell Lymphoma &amp; View Clinical Results. Any</v>
      </c>
    </row>
    <row r="52" spans="1:15" ht="15" customHeight="1" x14ac:dyDescent="0.3">
      <c r="A52" s="97" t="s">
        <v>46</v>
      </c>
      <c r="B52" s="98" t="s">
        <v>76</v>
      </c>
      <c r="C52" s="105" t="s">
        <v>53</v>
      </c>
      <c r="D52" s="98">
        <f t="shared" si="0"/>
        <v>2</v>
      </c>
      <c r="E52" s="92" t="s">
        <v>51</v>
      </c>
      <c r="F52" s="108" t="s">
        <v>74</v>
      </c>
      <c r="G52" s="99">
        <f t="shared" si="1"/>
        <v>6</v>
      </c>
      <c r="H52" s="103" t="s">
        <v>64</v>
      </c>
      <c r="I52" s="95" t="s">
        <v>380</v>
      </c>
      <c r="J52" s="11"/>
      <c r="K52" s="11"/>
      <c r="L52" s="11"/>
      <c r="M52" s="96"/>
      <c r="N52" s="11" t="str">
        <f t="shared" si="2"/>
        <v>Unbranded Condition Unbranded DLBCL Diagnosis Financial Assistance Options 2 or 3</v>
      </c>
      <c r="O52" s="11" t="str">
        <f t="shared" si="3"/>
        <v>Learn More About Starting Treatment For 3L+ DLBCL After Two Or More Prior Therapies. Any</v>
      </c>
    </row>
    <row r="53" spans="1:15" ht="15" customHeight="1" x14ac:dyDescent="0.3">
      <c r="A53" s="97" t="s">
        <v>46</v>
      </c>
      <c r="B53" s="98" t="s">
        <v>76</v>
      </c>
      <c r="C53" s="105" t="s">
        <v>54</v>
      </c>
      <c r="D53" s="98">
        <f t="shared" si="0"/>
        <v>2</v>
      </c>
      <c r="E53" s="92" t="s">
        <v>51</v>
      </c>
      <c r="F53" s="106"/>
      <c r="G53" s="99">
        <f t="shared" si="1"/>
        <v>90</v>
      </c>
      <c r="H53" s="106"/>
      <c r="I53" s="106"/>
      <c r="J53" s="11"/>
      <c r="K53" s="11"/>
      <c r="L53" s="11"/>
      <c r="M53" s="96"/>
      <c r="N53" s="11" t="str">
        <f t="shared" si="2"/>
        <v>Unbranded Condition Unbranded DLBCL Diagnosis Important Safety Information 2 or 3</v>
      </c>
      <c r="O53" s="11" t="str">
        <f t="shared" si="3"/>
        <v xml:space="preserve"> </v>
      </c>
    </row>
    <row r="54" spans="1:15" ht="15" customHeight="1" x14ac:dyDescent="0.3">
      <c r="A54" s="97" t="s">
        <v>46</v>
      </c>
      <c r="B54" s="98" t="s">
        <v>76</v>
      </c>
      <c r="C54" s="105" t="s">
        <v>55</v>
      </c>
      <c r="D54" s="98">
        <f t="shared" si="0"/>
        <v>2</v>
      </c>
      <c r="E54" s="92" t="s">
        <v>51</v>
      </c>
      <c r="F54" s="106"/>
      <c r="G54" s="99">
        <f t="shared" si="1"/>
        <v>90</v>
      </c>
      <c r="H54" s="106"/>
      <c r="I54" s="106"/>
      <c r="J54" s="11"/>
      <c r="K54" s="11"/>
      <c r="L54" s="11"/>
      <c r="M54" s="96"/>
      <c r="N54" s="11" t="str">
        <f t="shared" si="2"/>
        <v>Unbranded Condition Unbranded DLBCL Diagnosis Questions To Ask Your Doctor 2 or 3</v>
      </c>
      <c r="O54" s="11" t="str">
        <f t="shared" si="3"/>
        <v xml:space="preserve"> </v>
      </c>
    </row>
    <row r="55" spans="1:15" ht="15" customHeight="1" x14ac:dyDescent="0.3">
      <c r="A55" s="97" t="s">
        <v>46</v>
      </c>
      <c r="B55" s="98" t="s">
        <v>76</v>
      </c>
      <c r="C55" s="105" t="s">
        <v>56</v>
      </c>
      <c r="D55" s="98">
        <f t="shared" si="0"/>
        <v>8</v>
      </c>
      <c r="E55" s="92" t="s">
        <v>51</v>
      </c>
      <c r="F55" s="106"/>
      <c r="G55" s="99">
        <f t="shared" si="1"/>
        <v>90</v>
      </c>
      <c r="H55" s="106"/>
      <c r="I55" s="106"/>
      <c r="J55" s="11"/>
      <c r="K55" s="11"/>
      <c r="L55" s="11"/>
      <c r="M55" s="96"/>
      <c r="N55" s="11" t="str">
        <f t="shared" si="2"/>
        <v>Unbranded Condition Unbranded DLBCL Diagnosis DLBCL Infusion Therapy 2 or 3</v>
      </c>
      <c r="O55" s="11" t="str">
        <f t="shared" si="3"/>
        <v xml:space="preserve"> </v>
      </c>
    </row>
    <row r="56" spans="1:15" ht="15" customHeight="1" x14ac:dyDescent="0.3">
      <c r="A56" s="97" t="s">
        <v>46</v>
      </c>
      <c r="B56" s="98" t="s">
        <v>76</v>
      </c>
      <c r="C56" s="105" t="s">
        <v>57</v>
      </c>
      <c r="D56" s="98">
        <f t="shared" si="0"/>
        <v>8</v>
      </c>
      <c r="E56" s="92" t="s">
        <v>51</v>
      </c>
      <c r="F56" s="106"/>
      <c r="G56" s="99">
        <f t="shared" si="1"/>
        <v>90</v>
      </c>
      <c r="H56" s="106"/>
      <c r="I56" s="106"/>
      <c r="J56" s="11"/>
      <c r="K56" s="11"/>
      <c r="L56" s="11"/>
      <c r="M56" s="96"/>
      <c r="N56" s="11" t="str">
        <f t="shared" si="2"/>
        <v>Unbranded Condition Unbranded DLBCL Diagnosis Clinical Trial Results 2 or 3</v>
      </c>
      <c r="O56" s="11" t="str">
        <f t="shared" si="3"/>
        <v xml:space="preserve"> </v>
      </c>
    </row>
    <row r="57" spans="1:15" ht="15" customHeight="1" x14ac:dyDescent="0.3">
      <c r="A57" s="97" t="s">
        <v>46</v>
      </c>
      <c r="B57" s="98" t="s">
        <v>76</v>
      </c>
      <c r="C57" s="98" t="s">
        <v>58</v>
      </c>
      <c r="D57" s="98">
        <f t="shared" si="0"/>
        <v>6</v>
      </c>
      <c r="E57" s="92" t="s">
        <v>51</v>
      </c>
      <c r="F57" s="106"/>
      <c r="G57" s="99">
        <f t="shared" si="1"/>
        <v>90</v>
      </c>
      <c r="H57" s="106"/>
      <c r="I57" s="106"/>
      <c r="J57" s="11"/>
      <c r="K57" s="11"/>
      <c r="L57" s="11"/>
      <c r="M57" s="96"/>
      <c r="N57" s="11" t="str">
        <f t="shared" si="2"/>
        <v>Unbranded Condition Unbranded DLBCL Diagnosis Information For Patients 2 or 3</v>
      </c>
      <c r="O57" s="11" t="str">
        <f t="shared" si="3"/>
        <v xml:space="preserve"> </v>
      </c>
    </row>
    <row r="58" spans="1:15" ht="15" customHeight="1" x14ac:dyDescent="0.3">
      <c r="A58" s="97" t="s">
        <v>46</v>
      </c>
      <c r="B58" s="98" t="s">
        <v>76</v>
      </c>
      <c r="C58" s="98" t="s">
        <v>59</v>
      </c>
      <c r="D58" s="98">
        <f t="shared" si="0"/>
        <v>1</v>
      </c>
      <c r="E58" s="92" t="s">
        <v>51</v>
      </c>
      <c r="F58" s="106"/>
      <c r="G58" s="99">
        <f t="shared" si="1"/>
        <v>90</v>
      </c>
      <c r="H58" s="106"/>
      <c r="I58" s="106"/>
      <c r="J58" s="11"/>
      <c r="K58" s="11"/>
      <c r="L58" s="11"/>
      <c r="M58" s="96"/>
      <c r="N58" s="11" t="str">
        <f t="shared" si="2"/>
        <v>Unbranded Condition Unbranded DLBCL Diagnosis Efficacy &amp; Safety Information 2 or 3</v>
      </c>
      <c r="O58" s="11" t="str">
        <f t="shared" si="3"/>
        <v xml:space="preserve"> </v>
      </c>
    </row>
    <row r="59" spans="1:15" ht="15" customHeight="1" x14ac:dyDescent="0.3">
      <c r="A59" s="97" t="s">
        <v>46</v>
      </c>
      <c r="B59" s="98" t="s">
        <v>76</v>
      </c>
      <c r="C59" s="98" t="s">
        <v>72</v>
      </c>
      <c r="D59" s="98">
        <f t="shared" si="0"/>
        <v>1</v>
      </c>
      <c r="E59" s="92" t="s">
        <v>51</v>
      </c>
      <c r="F59" s="106"/>
      <c r="G59" s="99">
        <f t="shared" si="1"/>
        <v>90</v>
      </c>
      <c r="H59" s="106"/>
      <c r="I59" s="106"/>
      <c r="J59" s="11"/>
      <c r="K59" s="11"/>
      <c r="L59" s="11"/>
      <c r="M59" s="96"/>
      <c r="N59" s="11" t="str">
        <f t="shared" si="2"/>
        <v>Unbranded Condition Unbranded DLBCL Diagnosis Diffuse Large B-Cell Lymphoma 2 or 3</v>
      </c>
      <c r="O59" s="11" t="str">
        <f t="shared" si="3"/>
        <v xml:space="preserve"> </v>
      </c>
    </row>
    <row r="60" spans="1:15" ht="15" customHeight="1" x14ac:dyDescent="0.3">
      <c r="A60" s="97" t="s">
        <v>46</v>
      </c>
      <c r="B60" s="98" t="s">
        <v>76</v>
      </c>
      <c r="C60" s="98" t="s">
        <v>61</v>
      </c>
      <c r="D60" s="98">
        <f t="shared" si="0"/>
        <v>3</v>
      </c>
      <c r="E60" s="92" t="s">
        <v>51</v>
      </c>
      <c r="F60" s="106"/>
      <c r="G60" s="99">
        <f t="shared" si="1"/>
        <v>90</v>
      </c>
      <c r="H60" s="106"/>
      <c r="I60" s="106"/>
      <c r="J60" s="11"/>
      <c r="K60" s="11"/>
      <c r="L60" s="11"/>
      <c r="M60" s="96"/>
      <c r="N60" s="11" t="str">
        <f t="shared" si="2"/>
        <v>Unbranded Condition Unbranded DLBCL Diagnosis 3L+ DLBCL Treatment Support 2 or 3</v>
      </c>
      <c r="O60" s="11" t="str">
        <f t="shared" si="3"/>
        <v xml:space="preserve"> </v>
      </c>
    </row>
    <row r="61" spans="1:15" ht="15" customHeight="1" x14ac:dyDescent="0.3">
      <c r="A61" s="97" t="s">
        <v>46</v>
      </c>
      <c r="B61" s="98" t="s">
        <v>76</v>
      </c>
      <c r="C61" s="98" t="s">
        <v>62</v>
      </c>
      <c r="D61" s="98">
        <f t="shared" si="0"/>
        <v>3</v>
      </c>
      <c r="E61" s="92" t="s">
        <v>51</v>
      </c>
      <c r="F61" s="106"/>
      <c r="G61" s="99">
        <f t="shared" si="1"/>
        <v>90</v>
      </c>
      <c r="H61" s="106"/>
      <c r="I61" s="106"/>
      <c r="J61" s="11"/>
      <c r="K61" s="11"/>
      <c r="L61" s="11"/>
      <c r="M61" s="96"/>
      <c r="N61" s="11" t="str">
        <f t="shared" si="2"/>
        <v>Unbranded Condition Unbranded DLBCL Diagnosis 3L+ DLBCL Patient Resources 2 or 3</v>
      </c>
      <c r="O61" s="11" t="str">
        <f t="shared" si="3"/>
        <v xml:space="preserve"> </v>
      </c>
    </row>
    <row r="62" spans="1:15" ht="15" customHeight="1" x14ac:dyDescent="0.3">
      <c r="A62" s="97" t="s">
        <v>46</v>
      </c>
      <c r="B62" s="98" t="s">
        <v>76</v>
      </c>
      <c r="C62" s="98" t="s">
        <v>99</v>
      </c>
      <c r="D62" s="98">
        <f t="shared" si="0"/>
        <v>16</v>
      </c>
      <c r="E62" s="92" t="s">
        <v>51</v>
      </c>
      <c r="F62" s="106"/>
      <c r="G62" s="99">
        <f t="shared" si="1"/>
        <v>90</v>
      </c>
      <c r="H62" s="106"/>
      <c r="I62" s="106"/>
      <c r="J62" s="11"/>
      <c r="K62" s="11"/>
      <c r="L62" s="11"/>
      <c r="M62" s="96"/>
      <c r="N62" s="11" t="str">
        <f t="shared" si="2"/>
        <v>Unbranded Condition Unbranded DLBCL Diagnosis DLBCL Symptoms 2 or 3</v>
      </c>
      <c r="O62" s="11" t="str">
        <f t="shared" si="3"/>
        <v xml:space="preserve"> </v>
      </c>
    </row>
    <row r="63" spans="1:15" ht="15" customHeight="1" x14ac:dyDescent="0.3">
      <c r="A63" s="97" t="s">
        <v>46</v>
      </c>
      <c r="B63" s="98" t="s">
        <v>76</v>
      </c>
      <c r="C63" s="98" t="s">
        <v>60</v>
      </c>
      <c r="D63" s="98">
        <f t="shared" si="0"/>
        <v>19</v>
      </c>
      <c r="E63" s="92" t="s">
        <v>51</v>
      </c>
      <c r="F63" s="106"/>
      <c r="G63" s="99">
        <f t="shared" si="1"/>
        <v>90</v>
      </c>
      <c r="H63" s="106"/>
      <c r="I63" s="106"/>
      <c r="J63" s="11"/>
      <c r="K63" s="11"/>
      <c r="L63" s="11"/>
      <c r="M63" s="96"/>
      <c r="N63" s="11" t="str">
        <f t="shared" si="2"/>
        <v>Unbranded Condition Unbranded DLBCL Diagnosis About DLBCL 2 or 3</v>
      </c>
      <c r="O63" s="11" t="str">
        <f t="shared" si="3"/>
        <v xml:space="preserve"> </v>
      </c>
    </row>
    <row r="64" spans="1:15" ht="15" customHeight="1" x14ac:dyDescent="0.3">
      <c r="A64" s="97" t="s">
        <v>46</v>
      </c>
      <c r="B64" s="98" t="s">
        <v>78</v>
      </c>
      <c r="C64" s="98" t="s">
        <v>49</v>
      </c>
      <c r="D64" s="98">
        <f t="shared" si="0"/>
        <v>0</v>
      </c>
      <c r="E64" s="92">
        <v>1</v>
      </c>
      <c r="F64" s="93" t="s">
        <v>63</v>
      </c>
      <c r="G64" s="99">
        <f t="shared" si="1"/>
        <v>2</v>
      </c>
      <c r="H64" s="100" t="s">
        <v>64</v>
      </c>
      <c r="I64" s="95" t="s">
        <v>380</v>
      </c>
      <c r="J64" s="11"/>
      <c r="K64" s="11"/>
      <c r="L64" s="11"/>
      <c r="M64" s="96"/>
      <c r="N64" s="11" t="str">
        <f t="shared" si="2"/>
        <v>Unbranded Condition Unbranded DLBCL Resources Treatment Option For 3L+ DLBCL 1</v>
      </c>
      <c r="O64" s="11" t="str">
        <f t="shared" si="3"/>
        <v>Discover A Fixed-Duration Treatment Option For 3L+ DLBCL And View Important Safety Info. Any</v>
      </c>
    </row>
    <row r="65" spans="1:15" ht="15" customHeight="1" x14ac:dyDescent="0.3">
      <c r="A65" s="97" t="s">
        <v>46</v>
      </c>
      <c r="B65" s="98" t="s">
        <v>78</v>
      </c>
      <c r="C65" s="98" t="s">
        <v>50</v>
      </c>
      <c r="D65" s="98">
        <f t="shared" si="0"/>
        <v>1</v>
      </c>
      <c r="E65" s="92" t="s">
        <v>51</v>
      </c>
      <c r="F65" s="93" t="s">
        <v>65</v>
      </c>
      <c r="G65" s="99">
        <f t="shared" si="1"/>
        <v>7</v>
      </c>
      <c r="H65" s="100" t="s">
        <v>64</v>
      </c>
      <c r="I65" s="101" t="s">
        <v>380</v>
      </c>
      <c r="J65" s="11"/>
      <c r="K65" s="11"/>
      <c r="L65" s="11"/>
      <c r="M65" s="96"/>
      <c r="N65" s="11" t="str">
        <f t="shared" si="2"/>
        <v>Unbranded Condition Unbranded DLBCL Resources Download The Patient Brochure 2 or 3</v>
      </c>
      <c r="O65" s="11" t="str">
        <f t="shared" si="3"/>
        <v>Download The Patient Brochure To Learn More About A DLBCL Fixed-Duration Treatment. Any</v>
      </c>
    </row>
    <row r="66" spans="1:15" ht="15" customHeight="1" x14ac:dyDescent="0.3">
      <c r="A66" s="97" t="s">
        <v>46</v>
      </c>
      <c r="B66" s="98" t="s">
        <v>78</v>
      </c>
      <c r="C66" s="98" t="s">
        <v>52</v>
      </c>
      <c r="D66" s="98">
        <f t="shared" si="0"/>
        <v>8</v>
      </c>
      <c r="E66" s="92" t="s">
        <v>51</v>
      </c>
      <c r="F66" s="102" t="s">
        <v>66</v>
      </c>
      <c r="G66" s="99">
        <f t="shared" si="1"/>
        <v>5</v>
      </c>
      <c r="H66" s="100" t="s">
        <v>64</v>
      </c>
      <c r="I66" s="95" t="s">
        <v>380</v>
      </c>
      <c r="J66" s="11"/>
      <c r="K66" s="11"/>
      <c r="L66" s="11"/>
      <c r="M66" s="96"/>
      <c r="N66" s="11" t="str">
        <f t="shared" si="2"/>
        <v>Unbranded Condition Unbranded DLBCL Resources Resources For Patients 2 or 3</v>
      </c>
      <c r="O66" s="11" t="str">
        <f t="shared" si="3"/>
        <v>Explore An Infusion Option For Diffuse Large B Cell Lymphoma &amp; View Clinical Results. Any</v>
      </c>
    </row>
    <row r="67" spans="1:15" ht="15" customHeight="1" x14ac:dyDescent="0.3">
      <c r="A67" s="97" t="s">
        <v>46</v>
      </c>
      <c r="B67" s="98" t="s">
        <v>78</v>
      </c>
      <c r="C67" s="105" t="s">
        <v>53</v>
      </c>
      <c r="D67" s="98">
        <f t="shared" si="0"/>
        <v>2</v>
      </c>
      <c r="E67" s="92" t="s">
        <v>51</v>
      </c>
      <c r="F67" s="108" t="s">
        <v>74</v>
      </c>
      <c r="G67" s="99">
        <f t="shared" si="1"/>
        <v>6</v>
      </c>
      <c r="H67" s="103" t="s">
        <v>64</v>
      </c>
      <c r="I67" s="95" t="s">
        <v>380</v>
      </c>
      <c r="J67" s="11"/>
      <c r="K67" s="11"/>
      <c r="L67" s="11"/>
      <c r="M67" s="96"/>
      <c r="N67" s="11" t="str">
        <f t="shared" si="2"/>
        <v>Unbranded Condition Unbranded DLBCL Resources Financial Assistance Options 2 or 3</v>
      </c>
      <c r="O67" s="11" t="str">
        <f t="shared" si="3"/>
        <v>Learn More About Starting Treatment For 3L+ DLBCL After Two Or More Prior Therapies. Any</v>
      </c>
    </row>
    <row r="68" spans="1:15" ht="15" customHeight="1" x14ac:dyDescent="0.3">
      <c r="A68" s="97" t="s">
        <v>46</v>
      </c>
      <c r="B68" s="98" t="s">
        <v>78</v>
      </c>
      <c r="C68" s="105" t="s">
        <v>54</v>
      </c>
      <c r="D68" s="98">
        <f t="shared" si="0"/>
        <v>2</v>
      </c>
      <c r="E68" s="92" t="s">
        <v>51</v>
      </c>
      <c r="F68" s="106"/>
      <c r="G68" s="99">
        <f t="shared" si="1"/>
        <v>90</v>
      </c>
      <c r="H68" s="106"/>
      <c r="I68" s="106"/>
      <c r="J68" s="11"/>
      <c r="K68" s="11"/>
      <c r="L68" s="11"/>
      <c r="M68" s="96"/>
      <c r="N68" s="11" t="str">
        <f t="shared" si="2"/>
        <v>Unbranded Condition Unbranded DLBCL Resources Important Safety Information 2 or 3</v>
      </c>
      <c r="O68" s="11" t="str">
        <f t="shared" si="3"/>
        <v xml:space="preserve"> </v>
      </c>
    </row>
    <row r="69" spans="1:15" ht="15" customHeight="1" x14ac:dyDescent="0.3">
      <c r="A69" s="97" t="s">
        <v>46</v>
      </c>
      <c r="B69" s="98" t="s">
        <v>78</v>
      </c>
      <c r="C69" s="105" t="s">
        <v>55</v>
      </c>
      <c r="D69" s="98">
        <f t="shared" si="0"/>
        <v>2</v>
      </c>
      <c r="E69" s="92" t="s">
        <v>51</v>
      </c>
      <c r="F69" s="106"/>
      <c r="G69" s="99">
        <f t="shared" si="1"/>
        <v>90</v>
      </c>
      <c r="H69" s="106"/>
      <c r="I69" s="106"/>
      <c r="J69" s="11"/>
      <c r="K69" s="11"/>
      <c r="L69" s="11"/>
      <c r="M69" s="96"/>
      <c r="N69" s="11" t="str">
        <f t="shared" si="2"/>
        <v>Unbranded Condition Unbranded DLBCL Resources Questions To Ask Your Doctor 2 or 3</v>
      </c>
      <c r="O69" s="11" t="str">
        <f t="shared" si="3"/>
        <v xml:space="preserve"> </v>
      </c>
    </row>
    <row r="70" spans="1:15" ht="15" customHeight="1" x14ac:dyDescent="0.3">
      <c r="A70" s="97" t="s">
        <v>46</v>
      </c>
      <c r="B70" s="98" t="s">
        <v>78</v>
      </c>
      <c r="C70" s="105" t="s">
        <v>56</v>
      </c>
      <c r="D70" s="98">
        <f t="shared" si="0"/>
        <v>8</v>
      </c>
      <c r="E70" s="92" t="s">
        <v>51</v>
      </c>
      <c r="F70" s="106"/>
      <c r="G70" s="99">
        <f t="shared" si="1"/>
        <v>90</v>
      </c>
      <c r="H70" s="106"/>
      <c r="I70" s="106"/>
      <c r="J70" s="11"/>
      <c r="K70" s="11"/>
      <c r="L70" s="11"/>
      <c r="M70" s="96"/>
      <c r="N70" s="11" t="str">
        <f t="shared" si="2"/>
        <v>Unbranded Condition Unbranded DLBCL Resources DLBCL Infusion Therapy 2 or 3</v>
      </c>
      <c r="O70" s="11" t="str">
        <f t="shared" si="3"/>
        <v xml:space="preserve"> </v>
      </c>
    </row>
    <row r="71" spans="1:15" ht="15" customHeight="1" x14ac:dyDescent="0.3">
      <c r="A71" s="97" t="s">
        <v>46</v>
      </c>
      <c r="B71" s="98" t="s">
        <v>78</v>
      </c>
      <c r="C71" s="105" t="s">
        <v>79</v>
      </c>
      <c r="D71" s="98">
        <f t="shared" si="0"/>
        <v>8</v>
      </c>
      <c r="E71" s="92" t="s">
        <v>51</v>
      </c>
      <c r="F71" s="106"/>
      <c r="G71" s="99">
        <f t="shared" si="1"/>
        <v>90</v>
      </c>
      <c r="H71" s="106"/>
      <c r="I71" s="106"/>
      <c r="J71" s="11"/>
      <c r="K71" s="11"/>
      <c r="L71" s="11"/>
      <c r="M71" s="96"/>
      <c r="N71" s="11" t="str">
        <f t="shared" si="2"/>
        <v>Unbranded Condition Unbranded DLBCL Resources Downloadable Resources 2 or 3</v>
      </c>
      <c r="O71" s="11" t="str">
        <f t="shared" si="3"/>
        <v xml:space="preserve"> </v>
      </c>
    </row>
    <row r="72" spans="1:15" ht="15" customHeight="1" x14ac:dyDescent="0.3">
      <c r="A72" s="97" t="s">
        <v>46</v>
      </c>
      <c r="B72" s="98" t="s">
        <v>78</v>
      </c>
      <c r="C72" s="98" t="s">
        <v>58</v>
      </c>
      <c r="D72" s="98">
        <f t="shared" si="0"/>
        <v>6</v>
      </c>
      <c r="E72" s="92" t="s">
        <v>51</v>
      </c>
      <c r="F72" s="106"/>
      <c r="G72" s="99">
        <f t="shared" si="1"/>
        <v>90</v>
      </c>
      <c r="H72" s="106"/>
      <c r="I72" s="106"/>
      <c r="J72" s="11"/>
      <c r="K72" s="11"/>
      <c r="L72" s="11"/>
      <c r="M72" s="96"/>
      <c r="N72" s="11" t="str">
        <f t="shared" si="2"/>
        <v>Unbranded Condition Unbranded DLBCL Resources Information For Patients 2 or 3</v>
      </c>
      <c r="O72" s="11" t="str">
        <f t="shared" si="3"/>
        <v xml:space="preserve"> </v>
      </c>
    </row>
    <row r="73" spans="1:15" ht="15" customHeight="1" x14ac:dyDescent="0.3">
      <c r="A73" s="97" t="s">
        <v>46</v>
      </c>
      <c r="B73" s="98" t="s">
        <v>78</v>
      </c>
      <c r="C73" s="98" t="s">
        <v>59</v>
      </c>
      <c r="D73" s="98">
        <f t="shared" si="0"/>
        <v>1</v>
      </c>
      <c r="E73" s="92" t="s">
        <v>51</v>
      </c>
      <c r="F73" s="106"/>
      <c r="G73" s="99">
        <f t="shared" si="1"/>
        <v>90</v>
      </c>
      <c r="H73" s="106"/>
      <c r="I73" s="106"/>
      <c r="J73" s="11"/>
      <c r="K73" s="11"/>
      <c r="L73" s="11"/>
      <c r="M73" s="96"/>
      <c r="N73" s="11" t="str">
        <f t="shared" si="2"/>
        <v>Unbranded Condition Unbranded DLBCL Resources Efficacy &amp; Safety Information 2 or 3</v>
      </c>
      <c r="O73" s="11" t="str">
        <f t="shared" si="3"/>
        <v xml:space="preserve"> </v>
      </c>
    </row>
    <row r="74" spans="1:15" ht="15" customHeight="1" x14ac:dyDescent="0.3">
      <c r="A74" s="97" t="s">
        <v>46</v>
      </c>
      <c r="B74" s="98" t="s">
        <v>78</v>
      </c>
      <c r="C74" s="98" t="s">
        <v>80</v>
      </c>
      <c r="D74" s="98">
        <f t="shared" si="0"/>
        <v>4</v>
      </c>
      <c r="E74" s="92" t="s">
        <v>51</v>
      </c>
      <c r="F74" s="106"/>
      <c r="G74" s="99">
        <f t="shared" si="1"/>
        <v>90</v>
      </c>
      <c r="H74" s="106"/>
      <c r="I74" s="106"/>
      <c r="J74" s="11"/>
      <c r="K74" s="11"/>
      <c r="L74" s="11"/>
      <c r="M74" s="96"/>
      <c r="N74" s="11" t="str">
        <f t="shared" si="2"/>
        <v>Unbranded Condition Unbranded DLBCL Resources Infusion Information Sheet 2 or 3</v>
      </c>
      <c r="O74" s="11" t="str">
        <f t="shared" si="3"/>
        <v xml:space="preserve"> </v>
      </c>
    </row>
    <row r="75" spans="1:15" ht="15" customHeight="1" x14ac:dyDescent="0.3">
      <c r="A75" s="97" t="s">
        <v>46</v>
      </c>
      <c r="B75" s="98" t="s">
        <v>78</v>
      </c>
      <c r="C75" s="98" t="s">
        <v>61</v>
      </c>
      <c r="D75" s="98">
        <f t="shared" si="0"/>
        <v>3</v>
      </c>
      <c r="E75" s="92" t="s">
        <v>51</v>
      </c>
      <c r="F75" s="106"/>
      <c r="G75" s="99">
        <f t="shared" si="1"/>
        <v>90</v>
      </c>
      <c r="H75" s="106"/>
      <c r="I75" s="106"/>
      <c r="J75" s="11"/>
      <c r="K75" s="11"/>
      <c r="L75" s="11"/>
      <c r="M75" s="96"/>
      <c r="N75" s="11" t="str">
        <f t="shared" si="2"/>
        <v>Unbranded Condition Unbranded DLBCL Resources 3L+ DLBCL Treatment Support 2 or 3</v>
      </c>
      <c r="O75" s="11" t="str">
        <f t="shared" si="3"/>
        <v xml:space="preserve"> </v>
      </c>
    </row>
    <row r="76" spans="1:15" ht="15" customHeight="1" x14ac:dyDescent="0.3">
      <c r="A76" s="97" t="s">
        <v>46</v>
      </c>
      <c r="B76" s="98" t="s">
        <v>78</v>
      </c>
      <c r="C76" s="98" t="s">
        <v>62</v>
      </c>
      <c r="D76" s="98">
        <f t="shared" si="0"/>
        <v>3</v>
      </c>
      <c r="E76" s="92" t="s">
        <v>51</v>
      </c>
      <c r="F76" s="106"/>
      <c r="G76" s="99">
        <f t="shared" si="1"/>
        <v>90</v>
      </c>
      <c r="H76" s="106"/>
      <c r="I76" s="106"/>
      <c r="J76" s="11"/>
      <c r="K76" s="11"/>
      <c r="L76" s="11"/>
      <c r="M76" s="96"/>
      <c r="N76" s="11" t="str">
        <f t="shared" si="2"/>
        <v>Unbranded Condition Unbranded DLBCL Resources 3L+ DLBCL Patient Resources 2 or 3</v>
      </c>
      <c r="O76" s="11" t="str">
        <f t="shared" si="3"/>
        <v xml:space="preserve"> </v>
      </c>
    </row>
    <row r="77" spans="1:15" ht="15" customHeight="1" x14ac:dyDescent="0.3">
      <c r="A77" s="97" t="s">
        <v>46</v>
      </c>
      <c r="B77" s="98" t="s">
        <v>78</v>
      </c>
      <c r="C77" s="98" t="s">
        <v>383</v>
      </c>
      <c r="D77" s="98">
        <f t="shared" si="0"/>
        <v>1</v>
      </c>
      <c r="E77" s="92" t="s">
        <v>51</v>
      </c>
      <c r="F77" s="106"/>
      <c r="G77" s="99">
        <f t="shared" si="1"/>
        <v>90</v>
      </c>
      <c r="H77" s="106"/>
      <c r="I77" s="106"/>
      <c r="J77" s="11"/>
      <c r="K77" s="11"/>
      <c r="L77" s="11"/>
      <c r="M77" s="96"/>
      <c r="N77" s="11" t="str">
        <f t="shared" si="2"/>
        <v>Unbranded Condition Unbranded DLBCL Resources DLBCL Patient Support Program 2 or 3</v>
      </c>
      <c r="O77" s="11" t="str">
        <f t="shared" si="3"/>
        <v xml:space="preserve"> </v>
      </c>
    </row>
    <row r="78" spans="1:15" ht="15" customHeight="1" x14ac:dyDescent="0.3">
      <c r="A78" s="97" t="s">
        <v>46</v>
      </c>
      <c r="B78" s="98" t="s">
        <v>78</v>
      </c>
      <c r="C78" s="98" t="s">
        <v>85</v>
      </c>
      <c r="D78" s="98">
        <f t="shared" si="0"/>
        <v>2</v>
      </c>
      <c r="E78" s="92" t="s">
        <v>51</v>
      </c>
      <c r="F78" s="106"/>
      <c r="G78" s="99">
        <f t="shared" si="1"/>
        <v>90</v>
      </c>
      <c r="H78" s="106"/>
      <c r="I78" s="106"/>
      <c r="J78" s="11"/>
      <c r="K78" s="11"/>
      <c r="L78" s="11"/>
      <c r="M78" s="96"/>
      <c r="N78" s="11" t="str">
        <f t="shared" si="2"/>
        <v>Unbranded Condition Unbranded DLBCL Resources DLBCL Financial Support Info 2 or 3</v>
      </c>
      <c r="O78" s="11" t="str">
        <f t="shared" si="3"/>
        <v xml:space="preserve"> </v>
      </c>
    </row>
    <row r="79" spans="1:15" ht="15" customHeight="1" x14ac:dyDescent="0.3">
      <c r="A79" s="97" t="s">
        <v>46</v>
      </c>
      <c r="B79" s="98" t="s">
        <v>83</v>
      </c>
      <c r="C79" s="98" t="s">
        <v>49</v>
      </c>
      <c r="D79" s="98">
        <f t="shared" si="0"/>
        <v>0</v>
      </c>
      <c r="E79" s="92">
        <v>1</v>
      </c>
      <c r="F79" s="93" t="s">
        <v>63</v>
      </c>
      <c r="G79" s="99">
        <f t="shared" si="1"/>
        <v>2</v>
      </c>
      <c r="H79" s="100" t="s">
        <v>64</v>
      </c>
      <c r="I79" s="95" t="s">
        <v>380</v>
      </c>
      <c r="J79" s="11"/>
      <c r="K79" s="11"/>
      <c r="L79" s="11"/>
      <c r="M79" s="96"/>
      <c r="N79" s="11" t="str">
        <f t="shared" si="2"/>
        <v>Unbranded Condition Unbranded DLBCL Financial Support Treatment Option For 3L+ DLBCL 1</v>
      </c>
      <c r="O79" s="11" t="str">
        <f t="shared" si="3"/>
        <v>Discover A Fixed-Duration Treatment Option For 3L+ DLBCL And View Important Safety Info. Any</v>
      </c>
    </row>
    <row r="80" spans="1:15" ht="15" customHeight="1" x14ac:dyDescent="0.3">
      <c r="A80" s="97" t="s">
        <v>46</v>
      </c>
      <c r="B80" s="98" t="s">
        <v>83</v>
      </c>
      <c r="C80" s="98" t="s">
        <v>50</v>
      </c>
      <c r="D80" s="98">
        <f t="shared" si="0"/>
        <v>1</v>
      </c>
      <c r="E80" s="92" t="s">
        <v>51</v>
      </c>
      <c r="F80" s="102" t="s">
        <v>66</v>
      </c>
      <c r="G80" s="99">
        <f t="shared" si="1"/>
        <v>5</v>
      </c>
      <c r="H80" s="100" t="s">
        <v>64</v>
      </c>
      <c r="I80" s="101" t="s">
        <v>380</v>
      </c>
      <c r="J80" s="11"/>
      <c r="K80" s="11"/>
      <c r="L80" s="11"/>
      <c r="M80" s="96"/>
      <c r="N80" s="11" t="str">
        <f t="shared" si="2"/>
        <v>Unbranded Condition Unbranded DLBCL Financial Support Download The Patient Brochure 2 or 3</v>
      </c>
      <c r="O80" s="11" t="str">
        <f t="shared" si="3"/>
        <v>Explore An Infusion Option For Diffuse Large B Cell Lymphoma &amp; View Clinical Results. Any</v>
      </c>
    </row>
    <row r="81" spans="1:15" ht="15" customHeight="1" x14ac:dyDescent="0.3">
      <c r="A81" s="97" t="s">
        <v>46</v>
      </c>
      <c r="B81" s="98" t="s">
        <v>83</v>
      </c>
      <c r="C81" s="98" t="s">
        <v>52</v>
      </c>
      <c r="D81" s="98">
        <f t="shared" si="0"/>
        <v>8</v>
      </c>
      <c r="E81" s="92" t="s">
        <v>51</v>
      </c>
      <c r="F81" s="102" t="s">
        <v>87</v>
      </c>
      <c r="G81" s="99">
        <f t="shared" si="1"/>
        <v>13</v>
      </c>
      <c r="H81" s="100" t="s">
        <v>64</v>
      </c>
      <c r="I81" s="95" t="s">
        <v>380</v>
      </c>
      <c r="J81" s="11"/>
      <c r="K81" s="11"/>
      <c r="L81" s="11"/>
      <c r="M81" s="96"/>
      <c r="N81" s="11" t="str">
        <f t="shared" si="2"/>
        <v>Unbranded Condition Unbranded DLBCL Financial Support Resources For Patients 2 or 3</v>
      </c>
      <c r="O81" s="11" t="str">
        <f t="shared" si="3"/>
        <v>Use The Financial Assistance Tool To See Which Programs May Be Right For You. Any</v>
      </c>
    </row>
    <row r="82" spans="1:15" ht="15" customHeight="1" x14ac:dyDescent="0.3">
      <c r="A82" s="97" t="s">
        <v>46</v>
      </c>
      <c r="B82" s="98" t="s">
        <v>83</v>
      </c>
      <c r="C82" s="105" t="s">
        <v>53</v>
      </c>
      <c r="D82" s="98">
        <f t="shared" si="0"/>
        <v>2</v>
      </c>
      <c r="E82" s="92" t="s">
        <v>51</v>
      </c>
      <c r="F82" s="108" t="s">
        <v>74</v>
      </c>
      <c r="G82" s="99">
        <f t="shared" si="1"/>
        <v>6</v>
      </c>
      <c r="H82" s="103" t="s">
        <v>64</v>
      </c>
      <c r="I82" s="95" t="s">
        <v>380</v>
      </c>
      <c r="J82" s="11"/>
      <c r="K82" s="11"/>
      <c r="L82" s="11"/>
      <c r="M82" s="96"/>
      <c r="N82" s="11" t="str">
        <f t="shared" si="2"/>
        <v>Unbranded Condition Unbranded DLBCL Financial Support Financial Assistance Options 2 or 3</v>
      </c>
      <c r="O82" s="11" t="str">
        <f t="shared" si="3"/>
        <v>Learn More About Starting Treatment For 3L+ DLBCL After Two Or More Prior Therapies. Any</v>
      </c>
    </row>
    <row r="83" spans="1:15" ht="15" customHeight="1" x14ac:dyDescent="0.3">
      <c r="A83" s="97" t="s">
        <v>46</v>
      </c>
      <c r="B83" s="98" t="s">
        <v>83</v>
      </c>
      <c r="C83" s="105" t="s">
        <v>54</v>
      </c>
      <c r="D83" s="98">
        <f t="shared" si="0"/>
        <v>2</v>
      </c>
      <c r="E83" s="92" t="s">
        <v>51</v>
      </c>
      <c r="F83" s="106"/>
      <c r="G83" s="99">
        <f t="shared" si="1"/>
        <v>90</v>
      </c>
      <c r="H83" s="106"/>
      <c r="I83" s="106"/>
      <c r="J83" s="11"/>
      <c r="K83" s="11"/>
      <c r="L83" s="11"/>
      <c r="M83" s="96"/>
      <c r="N83" s="11" t="str">
        <f t="shared" si="2"/>
        <v>Unbranded Condition Unbranded DLBCL Financial Support Important Safety Information 2 or 3</v>
      </c>
      <c r="O83" s="11" t="str">
        <f t="shared" si="3"/>
        <v xml:space="preserve"> </v>
      </c>
    </row>
    <row r="84" spans="1:15" ht="15" customHeight="1" x14ac:dyDescent="0.3">
      <c r="A84" s="97" t="s">
        <v>46</v>
      </c>
      <c r="B84" s="98" t="s">
        <v>83</v>
      </c>
      <c r="C84" s="105" t="s">
        <v>55</v>
      </c>
      <c r="D84" s="98">
        <f t="shared" si="0"/>
        <v>2</v>
      </c>
      <c r="E84" s="92" t="s">
        <v>51</v>
      </c>
      <c r="F84" s="106"/>
      <c r="G84" s="99">
        <f t="shared" si="1"/>
        <v>90</v>
      </c>
      <c r="H84" s="106"/>
      <c r="I84" s="106"/>
      <c r="J84" s="11"/>
      <c r="K84" s="11"/>
      <c r="L84" s="11"/>
      <c r="M84" s="96"/>
      <c r="N84" s="11" t="str">
        <f t="shared" ref="N84:N147" si="4">CONCATENATE(A84," ",B84," ",C84," ",E84)</f>
        <v>Unbranded Condition Unbranded DLBCL Financial Support Questions To Ask Your Doctor 2 or 3</v>
      </c>
      <c r="O84" s="11" t="str">
        <f t="shared" ref="O84:O147" si="5">CONCATENATE(F84," ",H84)</f>
        <v xml:space="preserve"> </v>
      </c>
    </row>
    <row r="85" spans="1:15" ht="15" customHeight="1" x14ac:dyDescent="0.3">
      <c r="A85" s="97" t="s">
        <v>46</v>
      </c>
      <c r="B85" s="98" t="s">
        <v>83</v>
      </c>
      <c r="C85" s="105" t="s">
        <v>56</v>
      </c>
      <c r="D85" s="98">
        <f t="shared" si="0"/>
        <v>8</v>
      </c>
      <c r="E85" s="92" t="s">
        <v>51</v>
      </c>
      <c r="F85" s="106"/>
      <c r="G85" s="99">
        <f t="shared" si="1"/>
        <v>90</v>
      </c>
      <c r="H85" s="106"/>
      <c r="I85" s="106"/>
      <c r="J85" s="11"/>
      <c r="K85" s="11"/>
      <c r="L85" s="11"/>
      <c r="M85" s="96"/>
      <c r="N85" s="11" t="str">
        <f t="shared" si="4"/>
        <v>Unbranded Condition Unbranded DLBCL Financial Support DLBCL Infusion Therapy 2 or 3</v>
      </c>
      <c r="O85" s="11" t="str">
        <f t="shared" si="5"/>
        <v xml:space="preserve"> </v>
      </c>
    </row>
    <row r="86" spans="1:15" ht="15" customHeight="1" x14ac:dyDescent="0.3">
      <c r="A86" s="97" t="s">
        <v>46</v>
      </c>
      <c r="B86" s="98" t="s">
        <v>83</v>
      </c>
      <c r="C86" s="105" t="s">
        <v>84</v>
      </c>
      <c r="D86" s="98">
        <f t="shared" si="0"/>
        <v>5</v>
      </c>
      <c r="E86" s="92" t="s">
        <v>51</v>
      </c>
      <c r="F86" s="106"/>
      <c r="G86" s="99">
        <f t="shared" si="1"/>
        <v>90</v>
      </c>
      <c r="H86" s="106"/>
      <c r="I86" s="106"/>
      <c r="J86" s="11"/>
      <c r="K86" s="11"/>
      <c r="L86" s="11"/>
      <c r="M86" s="96"/>
      <c r="N86" s="11" t="str">
        <f t="shared" si="4"/>
        <v>Unbranded Condition Unbranded DLBCL Financial Support Financial Assistance Tool 2 or 3</v>
      </c>
      <c r="O86" s="11" t="str">
        <f t="shared" si="5"/>
        <v xml:space="preserve"> </v>
      </c>
    </row>
    <row r="87" spans="1:15" ht="15" customHeight="1" x14ac:dyDescent="0.3">
      <c r="A87" s="97" t="s">
        <v>46</v>
      </c>
      <c r="B87" s="98" t="s">
        <v>83</v>
      </c>
      <c r="C87" s="98" t="s">
        <v>58</v>
      </c>
      <c r="D87" s="98">
        <f t="shared" si="0"/>
        <v>6</v>
      </c>
      <c r="E87" s="92" t="s">
        <v>51</v>
      </c>
      <c r="F87" s="106"/>
      <c r="G87" s="99">
        <f t="shared" si="1"/>
        <v>90</v>
      </c>
      <c r="H87" s="106"/>
      <c r="I87" s="106"/>
      <c r="J87" s="11"/>
      <c r="K87" s="11"/>
      <c r="L87" s="11"/>
      <c r="M87" s="96"/>
      <c r="N87" s="11" t="str">
        <f t="shared" si="4"/>
        <v>Unbranded Condition Unbranded DLBCL Financial Support Information For Patients 2 or 3</v>
      </c>
      <c r="O87" s="11" t="str">
        <f t="shared" si="5"/>
        <v xml:space="preserve"> </v>
      </c>
    </row>
    <row r="88" spans="1:15" ht="15" customHeight="1" x14ac:dyDescent="0.3">
      <c r="A88" s="97" t="s">
        <v>46</v>
      </c>
      <c r="B88" s="98" t="s">
        <v>83</v>
      </c>
      <c r="C88" s="98" t="s">
        <v>59</v>
      </c>
      <c r="D88" s="98">
        <f t="shared" si="0"/>
        <v>1</v>
      </c>
      <c r="E88" s="92" t="s">
        <v>51</v>
      </c>
      <c r="F88" s="106"/>
      <c r="G88" s="99">
        <f t="shared" si="1"/>
        <v>90</v>
      </c>
      <c r="H88" s="106"/>
      <c r="I88" s="106"/>
      <c r="J88" s="11"/>
      <c r="K88" s="11"/>
      <c r="L88" s="11"/>
      <c r="M88" s="96"/>
      <c r="N88" s="11" t="str">
        <f t="shared" si="4"/>
        <v>Unbranded Condition Unbranded DLBCL Financial Support Efficacy &amp; Safety Information 2 or 3</v>
      </c>
      <c r="O88" s="11" t="str">
        <f t="shared" si="5"/>
        <v xml:space="preserve"> </v>
      </c>
    </row>
    <row r="89" spans="1:15" ht="15" customHeight="1" x14ac:dyDescent="0.3">
      <c r="A89" s="97" t="s">
        <v>46</v>
      </c>
      <c r="B89" s="98" t="s">
        <v>83</v>
      </c>
      <c r="C89" s="98" t="s">
        <v>85</v>
      </c>
      <c r="D89" s="98">
        <f t="shared" si="0"/>
        <v>2</v>
      </c>
      <c r="E89" s="92" t="s">
        <v>51</v>
      </c>
      <c r="F89" s="106"/>
      <c r="G89" s="99">
        <f t="shared" si="1"/>
        <v>90</v>
      </c>
      <c r="H89" s="106"/>
      <c r="I89" s="106"/>
      <c r="J89" s="11"/>
      <c r="K89" s="11"/>
      <c r="L89" s="11"/>
      <c r="M89" s="96"/>
      <c r="N89" s="11" t="str">
        <f t="shared" si="4"/>
        <v>Unbranded Condition Unbranded DLBCL Financial Support DLBCL Financial Support Info 2 or 3</v>
      </c>
      <c r="O89" s="11" t="str">
        <f t="shared" si="5"/>
        <v xml:space="preserve"> </v>
      </c>
    </row>
    <row r="90" spans="1:15" ht="15" customHeight="1" x14ac:dyDescent="0.3">
      <c r="A90" s="97" t="s">
        <v>46</v>
      </c>
      <c r="B90" s="98" t="s">
        <v>83</v>
      </c>
      <c r="C90" s="98" t="s">
        <v>62</v>
      </c>
      <c r="D90" s="98">
        <f t="shared" si="0"/>
        <v>3</v>
      </c>
      <c r="E90" s="92" t="s">
        <v>51</v>
      </c>
      <c r="F90" s="106"/>
      <c r="G90" s="99">
        <f t="shared" si="1"/>
        <v>90</v>
      </c>
      <c r="H90" s="106"/>
      <c r="I90" s="106"/>
      <c r="J90" s="11"/>
      <c r="K90" s="11"/>
      <c r="L90" s="11"/>
      <c r="M90" s="96"/>
      <c r="N90" s="11" t="str">
        <f t="shared" si="4"/>
        <v>Unbranded Condition Unbranded DLBCL Financial Support 3L+ DLBCL Patient Resources 2 or 3</v>
      </c>
      <c r="O90" s="11" t="str">
        <f t="shared" si="5"/>
        <v xml:space="preserve"> </v>
      </c>
    </row>
    <row r="91" spans="1:15" ht="15" customHeight="1" x14ac:dyDescent="0.3">
      <c r="A91" s="97" t="s">
        <v>46</v>
      </c>
      <c r="B91" s="98" t="s">
        <v>83</v>
      </c>
      <c r="C91" s="98" t="s">
        <v>86</v>
      </c>
      <c r="D91" s="98">
        <f t="shared" si="0"/>
        <v>3</v>
      </c>
      <c r="E91" s="92" t="s">
        <v>51</v>
      </c>
      <c r="F91" s="106"/>
      <c r="G91" s="99">
        <f t="shared" si="1"/>
        <v>90</v>
      </c>
      <c r="H91" s="106"/>
      <c r="I91" s="106"/>
      <c r="J91" s="11"/>
      <c r="K91" s="11"/>
      <c r="L91" s="11"/>
      <c r="M91" s="96"/>
      <c r="N91" s="11" t="str">
        <f t="shared" si="4"/>
        <v>Unbranded Condition Unbranded DLBCL Financial Support Apply For Financial Support 2 or 3</v>
      </c>
      <c r="O91" s="11" t="str">
        <f t="shared" si="5"/>
        <v xml:space="preserve"> </v>
      </c>
    </row>
    <row r="92" spans="1:15" ht="15" customHeight="1" x14ac:dyDescent="0.3">
      <c r="A92" s="97" t="s">
        <v>46</v>
      </c>
      <c r="B92" s="98" t="s">
        <v>83</v>
      </c>
      <c r="C92" s="98" t="s">
        <v>384</v>
      </c>
      <c r="D92" s="98">
        <f t="shared" si="0"/>
        <v>7</v>
      </c>
      <c r="E92" s="92" t="s">
        <v>51</v>
      </c>
      <c r="F92" s="106"/>
      <c r="G92" s="99">
        <f t="shared" si="1"/>
        <v>90</v>
      </c>
      <c r="H92" s="106"/>
      <c r="I92" s="106"/>
      <c r="J92" s="11"/>
      <c r="K92" s="11"/>
      <c r="L92" s="11"/>
      <c r="M92" s="96"/>
      <c r="N92" s="11" t="str">
        <f t="shared" si="4"/>
        <v>Unbranded Condition Unbranded DLBCL Financial Support Prescribing Information 2 or 3</v>
      </c>
      <c r="O92" s="11" t="str">
        <f t="shared" si="5"/>
        <v xml:space="preserve"> </v>
      </c>
    </row>
    <row r="93" spans="1:15" ht="15" customHeight="1" x14ac:dyDescent="0.3">
      <c r="A93" s="97" t="s">
        <v>46</v>
      </c>
      <c r="B93" s="98" t="s">
        <v>83</v>
      </c>
      <c r="C93" s="98" t="s">
        <v>72</v>
      </c>
      <c r="D93" s="98">
        <f t="shared" si="0"/>
        <v>1</v>
      </c>
      <c r="E93" s="92" t="s">
        <v>51</v>
      </c>
      <c r="F93" s="106"/>
      <c r="G93" s="99">
        <f t="shared" si="1"/>
        <v>90</v>
      </c>
      <c r="H93" s="106"/>
      <c r="I93" s="106"/>
      <c r="J93" s="11"/>
      <c r="K93" s="11"/>
      <c r="L93" s="11"/>
      <c r="M93" s="96"/>
      <c r="N93" s="11" t="str">
        <f t="shared" si="4"/>
        <v>Unbranded Condition Unbranded DLBCL Financial Support Diffuse Large B-Cell Lymphoma 2 or 3</v>
      </c>
      <c r="O93" s="11" t="str">
        <f t="shared" si="5"/>
        <v xml:space="preserve"> </v>
      </c>
    </row>
    <row r="94" spans="1:15" ht="15" customHeight="1" x14ac:dyDescent="0.3">
      <c r="A94" s="97" t="s">
        <v>46</v>
      </c>
      <c r="B94" s="98" t="s">
        <v>90</v>
      </c>
      <c r="C94" s="98" t="s">
        <v>49</v>
      </c>
      <c r="D94" s="98">
        <f t="shared" si="0"/>
        <v>0</v>
      </c>
      <c r="E94" s="92">
        <v>1</v>
      </c>
      <c r="F94" s="93" t="s">
        <v>63</v>
      </c>
      <c r="G94" s="99">
        <f t="shared" si="1"/>
        <v>2</v>
      </c>
      <c r="H94" s="100" t="s">
        <v>64</v>
      </c>
      <c r="I94" s="95" t="s">
        <v>380</v>
      </c>
      <c r="J94" s="11"/>
      <c r="K94" s="11"/>
      <c r="L94" s="11"/>
      <c r="M94" s="96"/>
      <c r="N94" s="11" t="str">
        <f t="shared" si="4"/>
        <v>Unbranded Condition Unbranded DLBCL Results Treatment Option For 3L+ DLBCL 1</v>
      </c>
      <c r="O94" s="11" t="str">
        <f t="shared" si="5"/>
        <v>Discover A Fixed-Duration Treatment Option For 3L+ DLBCL And View Important Safety Info. Any</v>
      </c>
    </row>
    <row r="95" spans="1:15" ht="15" customHeight="1" x14ac:dyDescent="0.3">
      <c r="A95" s="97" t="s">
        <v>46</v>
      </c>
      <c r="B95" s="98" t="s">
        <v>90</v>
      </c>
      <c r="C95" s="98" t="s">
        <v>50</v>
      </c>
      <c r="D95" s="98">
        <f t="shared" si="0"/>
        <v>1</v>
      </c>
      <c r="E95" s="92" t="s">
        <v>51</v>
      </c>
      <c r="F95" s="93" t="s">
        <v>65</v>
      </c>
      <c r="G95" s="99">
        <f t="shared" si="1"/>
        <v>7</v>
      </c>
      <c r="H95" s="100" t="s">
        <v>64</v>
      </c>
      <c r="I95" s="101" t="s">
        <v>380</v>
      </c>
      <c r="J95" s="11"/>
      <c r="K95" s="11"/>
      <c r="L95" s="11"/>
      <c r="M95" s="96"/>
      <c r="N95" s="11" t="str">
        <f t="shared" si="4"/>
        <v>Unbranded Condition Unbranded DLBCL Results Download The Patient Brochure 2 or 3</v>
      </c>
      <c r="O95" s="11" t="str">
        <f t="shared" si="5"/>
        <v>Download The Patient Brochure To Learn More About A DLBCL Fixed-Duration Treatment. Any</v>
      </c>
    </row>
    <row r="96" spans="1:15" ht="15" customHeight="1" x14ac:dyDescent="0.3">
      <c r="A96" s="97" t="s">
        <v>46</v>
      </c>
      <c r="B96" s="98" t="s">
        <v>90</v>
      </c>
      <c r="C96" s="98" t="s">
        <v>52</v>
      </c>
      <c r="D96" s="98">
        <f t="shared" si="0"/>
        <v>8</v>
      </c>
      <c r="E96" s="92" t="s">
        <v>51</v>
      </c>
      <c r="F96" s="102" t="s">
        <v>66</v>
      </c>
      <c r="G96" s="99">
        <f t="shared" si="1"/>
        <v>5</v>
      </c>
      <c r="H96" s="100" t="s">
        <v>64</v>
      </c>
      <c r="I96" s="95" t="s">
        <v>380</v>
      </c>
      <c r="J96" s="11"/>
      <c r="K96" s="11"/>
      <c r="L96" s="11"/>
      <c r="M96" s="96"/>
      <c r="N96" s="11" t="str">
        <f t="shared" si="4"/>
        <v>Unbranded Condition Unbranded DLBCL Results Resources For Patients 2 or 3</v>
      </c>
      <c r="O96" s="11" t="str">
        <f t="shared" si="5"/>
        <v>Explore An Infusion Option For Diffuse Large B Cell Lymphoma &amp; View Clinical Results. Any</v>
      </c>
    </row>
    <row r="97" spans="1:15" ht="15" customHeight="1" x14ac:dyDescent="0.3">
      <c r="A97" s="97" t="s">
        <v>46</v>
      </c>
      <c r="B97" s="98" t="s">
        <v>90</v>
      </c>
      <c r="C97" s="105" t="s">
        <v>53</v>
      </c>
      <c r="D97" s="98">
        <f t="shared" si="0"/>
        <v>2</v>
      </c>
      <c r="E97" s="92" t="s">
        <v>51</v>
      </c>
      <c r="F97" s="108" t="s">
        <v>74</v>
      </c>
      <c r="G97" s="99">
        <f t="shared" si="1"/>
        <v>6</v>
      </c>
      <c r="H97" s="103" t="s">
        <v>64</v>
      </c>
      <c r="I97" s="95" t="s">
        <v>380</v>
      </c>
      <c r="J97" s="11"/>
      <c r="K97" s="11"/>
      <c r="L97" s="11"/>
      <c r="M97" s="96"/>
      <c r="N97" s="11" t="str">
        <f t="shared" si="4"/>
        <v>Unbranded Condition Unbranded DLBCL Results Financial Assistance Options 2 or 3</v>
      </c>
      <c r="O97" s="11" t="str">
        <f t="shared" si="5"/>
        <v>Learn More About Starting Treatment For 3L+ DLBCL After Two Or More Prior Therapies. Any</v>
      </c>
    </row>
    <row r="98" spans="1:15" ht="15" customHeight="1" x14ac:dyDescent="0.3">
      <c r="A98" s="97" t="s">
        <v>46</v>
      </c>
      <c r="B98" s="98" t="s">
        <v>90</v>
      </c>
      <c r="C98" s="105" t="s">
        <v>54</v>
      </c>
      <c r="D98" s="98">
        <f t="shared" si="0"/>
        <v>2</v>
      </c>
      <c r="E98" s="92" t="s">
        <v>51</v>
      </c>
      <c r="F98" s="106"/>
      <c r="G98" s="99">
        <f t="shared" si="1"/>
        <v>90</v>
      </c>
      <c r="H98" s="106"/>
      <c r="I98" s="106"/>
      <c r="J98" s="11"/>
      <c r="K98" s="11"/>
      <c r="L98" s="11"/>
      <c r="M98" s="96"/>
      <c r="N98" s="11" t="str">
        <f t="shared" si="4"/>
        <v>Unbranded Condition Unbranded DLBCL Results Important Safety Information 2 or 3</v>
      </c>
      <c r="O98" s="11" t="str">
        <f t="shared" si="5"/>
        <v xml:space="preserve"> </v>
      </c>
    </row>
    <row r="99" spans="1:15" ht="15" customHeight="1" x14ac:dyDescent="0.3">
      <c r="A99" s="97" t="s">
        <v>46</v>
      </c>
      <c r="B99" s="98" t="s">
        <v>90</v>
      </c>
      <c r="C99" s="105" t="s">
        <v>55</v>
      </c>
      <c r="D99" s="98">
        <f t="shared" si="0"/>
        <v>2</v>
      </c>
      <c r="E99" s="92" t="s">
        <v>51</v>
      </c>
      <c r="F99" s="106"/>
      <c r="G99" s="99">
        <f t="shared" si="1"/>
        <v>90</v>
      </c>
      <c r="H99" s="106"/>
      <c r="I99" s="106"/>
      <c r="J99" s="11"/>
      <c r="K99" s="11"/>
      <c r="L99" s="11"/>
      <c r="M99" s="96"/>
      <c r="N99" s="11" t="str">
        <f t="shared" si="4"/>
        <v>Unbranded Condition Unbranded DLBCL Results Questions To Ask Your Doctor 2 or 3</v>
      </c>
      <c r="O99" s="11" t="str">
        <f t="shared" si="5"/>
        <v xml:space="preserve"> </v>
      </c>
    </row>
    <row r="100" spans="1:15" ht="15" customHeight="1" x14ac:dyDescent="0.3">
      <c r="A100" s="97" t="s">
        <v>46</v>
      </c>
      <c r="B100" s="98" t="s">
        <v>90</v>
      </c>
      <c r="C100" s="105" t="s">
        <v>56</v>
      </c>
      <c r="D100" s="98">
        <f t="shared" si="0"/>
        <v>8</v>
      </c>
      <c r="E100" s="92" t="s">
        <v>51</v>
      </c>
      <c r="F100" s="106"/>
      <c r="G100" s="99">
        <f t="shared" si="1"/>
        <v>90</v>
      </c>
      <c r="H100" s="106"/>
      <c r="I100" s="106"/>
      <c r="J100" s="11"/>
      <c r="K100" s="11"/>
      <c r="L100" s="11"/>
      <c r="M100" s="96"/>
      <c r="N100" s="11" t="str">
        <f t="shared" si="4"/>
        <v>Unbranded Condition Unbranded DLBCL Results DLBCL Infusion Therapy 2 or 3</v>
      </c>
      <c r="O100" s="11" t="str">
        <f t="shared" si="5"/>
        <v xml:space="preserve"> </v>
      </c>
    </row>
    <row r="101" spans="1:15" ht="15" customHeight="1" x14ac:dyDescent="0.3">
      <c r="A101" s="97" t="s">
        <v>46</v>
      </c>
      <c r="B101" s="98" t="s">
        <v>90</v>
      </c>
      <c r="C101" s="105" t="s">
        <v>57</v>
      </c>
      <c r="D101" s="98">
        <f t="shared" si="0"/>
        <v>8</v>
      </c>
      <c r="E101" s="92" t="s">
        <v>51</v>
      </c>
      <c r="F101" s="106"/>
      <c r="G101" s="99">
        <f t="shared" si="1"/>
        <v>90</v>
      </c>
      <c r="H101" s="106"/>
      <c r="I101" s="106"/>
      <c r="J101" s="11"/>
      <c r="K101" s="11"/>
      <c r="L101" s="11"/>
      <c r="M101" s="96"/>
      <c r="N101" s="11" t="str">
        <f t="shared" si="4"/>
        <v>Unbranded Condition Unbranded DLBCL Results Clinical Trial Results 2 or 3</v>
      </c>
      <c r="O101" s="11" t="str">
        <f t="shared" si="5"/>
        <v xml:space="preserve"> </v>
      </c>
    </row>
    <row r="102" spans="1:15" ht="15" customHeight="1" x14ac:dyDescent="0.3">
      <c r="A102" s="97" t="s">
        <v>46</v>
      </c>
      <c r="B102" s="98" t="s">
        <v>90</v>
      </c>
      <c r="C102" s="98" t="s">
        <v>58</v>
      </c>
      <c r="D102" s="98">
        <f t="shared" si="0"/>
        <v>6</v>
      </c>
      <c r="E102" s="92" t="s">
        <v>51</v>
      </c>
      <c r="F102" s="106"/>
      <c r="G102" s="99">
        <f t="shared" si="1"/>
        <v>90</v>
      </c>
      <c r="H102" s="106"/>
      <c r="I102" s="106"/>
      <c r="J102" s="11"/>
      <c r="K102" s="11"/>
      <c r="L102" s="11"/>
      <c r="M102" s="96"/>
      <c r="N102" s="11" t="str">
        <f t="shared" si="4"/>
        <v>Unbranded Condition Unbranded DLBCL Results Information For Patients 2 or 3</v>
      </c>
      <c r="O102" s="11" t="str">
        <f t="shared" si="5"/>
        <v xml:space="preserve"> </v>
      </c>
    </row>
    <row r="103" spans="1:15" ht="15" customHeight="1" x14ac:dyDescent="0.3">
      <c r="A103" s="97" t="s">
        <v>46</v>
      </c>
      <c r="B103" s="98" t="s">
        <v>90</v>
      </c>
      <c r="C103" s="98" t="s">
        <v>59</v>
      </c>
      <c r="D103" s="98">
        <f t="shared" si="0"/>
        <v>1</v>
      </c>
      <c r="E103" s="92" t="s">
        <v>51</v>
      </c>
      <c r="F103" s="106"/>
      <c r="G103" s="99">
        <f t="shared" si="1"/>
        <v>90</v>
      </c>
      <c r="H103" s="106"/>
      <c r="I103" s="106"/>
      <c r="J103" s="11"/>
      <c r="K103" s="11"/>
      <c r="L103" s="11"/>
      <c r="M103" s="96"/>
      <c r="N103" s="11" t="str">
        <f t="shared" si="4"/>
        <v>Unbranded Condition Unbranded DLBCL Results Efficacy &amp; Safety Information 2 or 3</v>
      </c>
      <c r="O103" s="11" t="str">
        <f t="shared" si="5"/>
        <v xml:space="preserve"> </v>
      </c>
    </row>
    <row r="104" spans="1:15" ht="15" customHeight="1" x14ac:dyDescent="0.3">
      <c r="A104" s="97" t="s">
        <v>46</v>
      </c>
      <c r="B104" s="98" t="s">
        <v>90</v>
      </c>
      <c r="C104" s="98" t="s">
        <v>72</v>
      </c>
      <c r="D104" s="98">
        <f t="shared" si="0"/>
        <v>1</v>
      </c>
      <c r="E104" s="92" t="s">
        <v>51</v>
      </c>
      <c r="F104" s="106"/>
      <c r="G104" s="99">
        <f t="shared" si="1"/>
        <v>90</v>
      </c>
      <c r="H104" s="106"/>
      <c r="I104" s="106"/>
      <c r="J104" s="11"/>
      <c r="K104" s="11"/>
      <c r="L104" s="11"/>
      <c r="M104" s="96"/>
      <c r="N104" s="11" t="str">
        <f t="shared" si="4"/>
        <v>Unbranded Condition Unbranded DLBCL Results Diffuse Large B-Cell Lymphoma 2 or 3</v>
      </c>
      <c r="O104" s="11" t="str">
        <f t="shared" si="5"/>
        <v xml:space="preserve"> </v>
      </c>
    </row>
    <row r="105" spans="1:15" ht="15" customHeight="1" x14ac:dyDescent="0.3">
      <c r="A105" s="97" t="s">
        <v>46</v>
      </c>
      <c r="B105" s="98" t="s">
        <v>90</v>
      </c>
      <c r="C105" s="98" t="s">
        <v>73</v>
      </c>
      <c r="D105" s="98">
        <f t="shared" si="0"/>
        <v>5</v>
      </c>
      <c r="E105" s="92" t="s">
        <v>51</v>
      </c>
      <c r="F105" s="106"/>
      <c r="G105" s="99">
        <f t="shared" si="1"/>
        <v>90</v>
      </c>
      <c r="H105" s="106"/>
      <c r="I105" s="106"/>
      <c r="J105" s="11"/>
      <c r="K105" s="11"/>
      <c r="L105" s="11"/>
      <c r="M105" s="96"/>
      <c r="N105" s="11" t="str">
        <f t="shared" si="4"/>
        <v>Unbranded Condition Unbranded DLBCL Results DLBCL Clinical Study Data 2 or 3</v>
      </c>
      <c r="O105" s="11" t="str">
        <f t="shared" si="5"/>
        <v xml:space="preserve"> </v>
      </c>
    </row>
    <row r="106" spans="1:15" ht="15" customHeight="1" x14ac:dyDescent="0.3">
      <c r="A106" s="97" t="s">
        <v>46</v>
      </c>
      <c r="B106" s="98" t="s">
        <v>90</v>
      </c>
      <c r="C106" s="98" t="s">
        <v>60</v>
      </c>
      <c r="D106" s="98">
        <f t="shared" si="0"/>
        <v>19</v>
      </c>
      <c r="E106" s="92" t="s">
        <v>51</v>
      </c>
      <c r="F106" s="106"/>
      <c r="G106" s="99">
        <f t="shared" si="1"/>
        <v>90</v>
      </c>
      <c r="H106" s="106"/>
      <c r="I106" s="106"/>
      <c r="J106" s="11"/>
      <c r="K106" s="11"/>
      <c r="L106" s="11"/>
      <c r="M106" s="96"/>
      <c r="N106" s="11" t="str">
        <f t="shared" si="4"/>
        <v>Unbranded Condition Unbranded DLBCL Results About DLBCL 2 or 3</v>
      </c>
      <c r="O106" s="11" t="str">
        <f t="shared" si="5"/>
        <v xml:space="preserve"> </v>
      </c>
    </row>
    <row r="107" spans="1:15" ht="15" customHeight="1" x14ac:dyDescent="0.3">
      <c r="A107" s="97" t="s">
        <v>46</v>
      </c>
      <c r="B107" s="98" t="s">
        <v>90</v>
      </c>
      <c r="C107" s="98" t="s">
        <v>99</v>
      </c>
      <c r="D107" s="98">
        <f t="shared" si="0"/>
        <v>16</v>
      </c>
      <c r="E107" s="92" t="s">
        <v>51</v>
      </c>
      <c r="F107" s="106"/>
      <c r="G107" s="99">
        <f t="shared" si="1"/>
        <v>90</v>
      </c>
      <c r="H107" s="106"/>
      <c r="I107" s="106"/>
      <c r="J107" s="11"/>
      <c r="K107" s="11"/>
      <c r="L107" s="11"/>
      <c r="M107" s="96"/>
      <c r="N107" s="11" t="str">
        <f t="shared" si="4"/>
        <v>Unbranded Condition Unbranded DLBCL Results DLBCL Symptoms 2 or 3</v>
      </c>
      <c r="O107" s="11" t="str">
        <f t="shared" si="5"/>
        <v xml:space="preserve"> </v>
      </c>
    </row>
    <row r="108" spans="1:15" ht="15" customHeight="1" x14ac:dyDescent="0.3">
      <c r="A108" s="97" t="s">
        <v>46</v>
      </c>
      <c r="B108" s="98" t="s">
        <v>90</v>
      </c>
      <c r="C108" s="98" t="s">
        <v>382</v>
      </c>
      <c r="D108" s="98">
        <f t="shared" si="0"/>
        <v>6</v>
      </c>
      <c r="E108" s="92" t="s">
        <v>51</v>
      </c>
      <c r="F108" s="106"/>
      <c r="G108" s="99">
        <f t="shared" si="1"/>
        <v>90</v>
      </c>
      <c r="H108" s="106"/>
      <c r="I108" s="106"/>
      <c r="J108" s="11"/>
      <c r="K108" s="11"/>
      <c r="L108" s="11"/>
      <c r="M108" s="96"/>
      <c r="N108" s="11" t="str">
        <f t="shared" si="4"/>
        <v>Unbranded Condition Unbranded DLBCL Results 3L+ DLBCL Treatment Info 2 or 3</v>
      </c>
      <c r="O108" s="11" t="str">
        <f t="shared" si="5"/>
        <v xml:space="preserve"> </v>
      </c>
    </row>
    <row r="109" spans="1:15" ht="13.5" customHeight="1" x14ac:dyDescent="0.3">
      <c r="A109" s="109" t="s">
        <v>92</v>
      </c>
      <c r="B109" s="105" t="s">
        <v>95</v>
      </c>
      <c r="C109" s="98" t="s">
        <v>49</v>
      </c>
      <c r="D109" s="98">
        <f t="shared" si="0"/>
        <v>0</v>
      </c>
      <c r="E109" s="92">
        <v>1</v>
      </c>
      <c r="F109" s="93" t="s">
        <v>63</v>
      </c>
      <c r="G109" s="99">
        <f t="shared" si="1"/>
        <v>2</v>
      </c>
      <c r="H109" s="100" t="s">
        <v>64</v>
      </c>
      <c r="I109" s="95" t="s">
        <v>380</v>
      </c>
      <c r="J109" s="11"/>
      <c r="K109" s="11"/>
      <c r="L109" s="11"/>
      <c r="M109" s="96"/>
      <c r="N109" s="11" t="str">
        <f t="shared" si="4"/>
        <v>Unbranded Treatment Unbranded DLBCL Developments Treatment Option For 3L+ DLBCL 1</v>
      </c>
      <c r="O109" s="11" t="str">
        <f t="shared" si="5"/>
        <v>Discover A Fixed-Duration Treatment Option For 3L+ DLBCL And View Important Safety Info. Any</v>
      </c>
    </row>
    <row r="110" spans="1:15" ht="15" customHeight="1" x14ac:dyDescent="0.3">
      <c r="A110" s="109" t="s">
        <v>92</v>
      </c>
      <c r="B110" s="105" t="s">
        <v>95</v>
      </c>
      <c r="C110" s="98" t="s">
        <v>50</v>
      </c>
      <c r="D110" s="98">
        <f t="shared" si="0"/>
        <v>1</v>
      </c>
      <c r="E110" s="92" t="s">
        <v>51</v>
      </c>
      <c r="F110" s="93" t="s">
        <v>65</v>
      </c>
      <c r="G110" s="99">
        <f t="shared" si="1"/>
        <v>7</v>
      </c>
      <c r="H110" s="100" t="s">
        <v>64</v>
      </c>
      <c r="I110" s="101" t="s">
        <v>380</v>
      </c>
      <c r="J110" s="11"/>
      <c r="K110" s="11"/>
      <c r="L110" s="11"/>
      <c r="M110" s="96"/>
      <c r="N110" s="11" t="str">
        <f t="shared" si="4"/>
        <v>Unbranded Treatment Unbranded DLBCL Developments Download The Patient Brochure 2 or 3</v>
      </c>
      <c r="O110" s="11" t="str">
        <f t="shared" si="5"/>
        <v>Download The Patient Brochure To Learn More About A DLBCL Fixed-Duration Treatment. Any</v>
      </c>
    </row>
    <row r="111" spans="1:15" ht="15" customHeight="1" x14ac:dyDescent="0.3">
      <c r="A111" s="109" t="s">
        <v>92</v>
      </c>
      <c r="B111" s="105" t="s">
        <v>95</v>
      </c>
      <c r="C111" s="98" t="s">
        <v>52</v>
      </c>
      <c r="D111" s="98">
        <f t="shared" si="0"/>
        <v>8</v>
      </c>
      <c r="E111" s="92" t="s">
        <v>51</v>
      </c>
      <c r="F111" s="102" t="s">
        <v>66</v>
      </c>
      <c r="G111" s="99">
        <f t="shared" si="1"/>
        <v>5</v>
      </c>
      <c r="H111" s="100" t="s">
        <v>64</v>
      </c>
      <c r="I111" s="95" t="s">
        <v>380</v>
      </c>
      <c r="J111" s="11"/>
      <c r="K111" s="11"/>
      <c r="L111" s="11"/>
      <c r="M111" s="96"/>
      <c r="N111" s="11" t="str">
        <f t="shared" si="4"/>
        <v>Unbranded Treatment Unbranded DLBCL Developments Resources For Patients 2 or 3</v>
      </c>
      <c r="O111" s="11" t="str">
        <f t="shared" si="5"/>
        <v>Explore An Infusion Option For Diffuse Large B Cell Lymphoma &amp; View Clinical Results. Any</v>
      </c>
    </row>
    <row r="112" spans="1:15" ht="15" customHeight="1" x14ac:dyDescent="0.3">
      <c r="A112" s="109" t="s">
        <v>92</v>
      </c>
      <c r="B112" s="105" t="s">
        <v>95</v>
      </c>
      <c r="C112" s="105" t="s">
        <v>53</v>
      </c>
      <c r="D112" s="98">
        <f t="shared" si="0"/>
        <v>2</v>
      </c>
      <c r="E112" s="92" t="s">
        <v>51</v>
      </c>
      <c r="F112" s="108" t="s">
        <v>74</v>
      </c>
      <c r="G112" s="99">
        <f t="shared" si="1"/>
        <v>6</v>
      </c>
      <c r="H112" s="103" t="s">
        <v>64</v>
      </c>
      <c r="I112" s="95" t="s">
        <v>380</v>
      </c>
      <c r="J112" s="11"/>
      <c r="K112" s="11"/>
      <c r="L112" s="11"/>
      <c r="M112" s="96"/>
      <c r="N112" s="11" t="str">
        <f t="shared" si="4"/>
        <v>Unbranded Treatment Unbranded DLBCL Developments Financial Assistance Options 2 or 3</v>
      </c>
      <c r="O112" s="11" t="str">
        <f t="shared" si="5"/>
        <v>Learn More About Starting Treatment For 3L+ DLBCL After Two Or More Prior Therapies. Any</v>
      </c>
    </row>
    <row r="113" spans="1:15" ht="15" customHeight="1" x14ac:dyDescent="0.3">
      <c r="A113" s="109" t="s">
        <v>92</v>
      </c>
      <c r="B113" s="105" t="s">
        <v>95</v>
      </c>
      <c r="C113" s="105" t="s">
        <v>54</v>
      </c>
      <c r="D113" s="98">
        <f t="shared" si="0"/>
        <v>2</v>
      </c>
      <c r="E113" s="92" t="s">
        <v>51</v>
      </c>
      <c r="F113" s="106"/>
      <c r="G113" s="99">
        <f t="shared" si="1"/>
        <v>90</v>
      </c>
      <c r="H113" s="106"/>
      <c r="I113" s="106"/>
      <c r="J113" s="11"/>
      <c r="K113" s="11"/>
      <c r="L113" s="11"/>
      <c r="M113" s="96"/>
      <c r="N113" s="11" t="str">
        <f t="shared" si="4"/>
        <v>Unbranded Treatment Unbranded DLBCL Developments Important Safety Information 2 or 3</v>
      </c>
      <c r="O113" s="11" t="str">
        <f t="shared" si="5"/>
        <v xml:space="preserve"> </v>
      </c>
    </row>
    <row r="114" spans="1:15" ht="15" customHeight="1" x14ac:dyDescent="0.3">
      <c r="A114" s="109" t="s">
        <v>92</v>
      </c>
      <c r="B114" s="105" t="s">
        <v>95</v>
      </c>
      <c r="C114" s="105" t="s">
        <v>55</v>
      </c>
      <c r="D114" s="98">
        <f t="shared" si="0"/>
        <v>2</v>
      </c>
      <c r="E114" s="92" t="s">
        <v>51</v>
      </c>
      <c r="F114" s="106"/>
      <c r="G114" s="99">
        <f t="shared" si="1"/>
        <v>90</v>
      </c>
      <c r="H114" s="106"/>
      <c r="I114" s="106"/>
      <c r="J114" s="11"/>
      <c r="K114" s="11"/>
      <c r="L114" s="11"/>
      <c r="M114" s="96"/>
      <c r="N114" s="11" t="str">
        <f t="shared" si="4"/>
        <v>Unbranded Treatment Unbranded DLBCL Developments Questions To Ask Your Doctor 2 or 3</v>
      </c>
      <c r="O114" s="11" t="str">
        <f t="shared" si="5"/>
        <v xml:space="preserve"> </v>
      </c>
    </row>
    <row r="115" spans="1:15" ht="15" customHeight="1" x14ac:dyDescent="0.3">
      <c r="A115" s="109" t="s">
        <v>92</v>
      </c>
      <c r="B115" s="105" t="s">
        <v>95</v>
      </c>
      <c r="C115" s="105" t="s">
        <v>56</v>
      </c>
      <c r="D115" s="98">
        <f t="shared" si="0"/>
        <v>8</v>
      </c>
      <c r="E115" s="92" t="s">
        <v>51</v>
      </c>
      <c r="F115" s="106"/>
      <c r="G115" s="99">
        <f t="shared" si="1"/>
        <v>90</v>
      </c>
      <c r="H115" s="106"/>
      <c r="I115" s="106"/>
      <c r="J115" s="11"/>
      <c r="K115" s="11"/>
      <c r="L115" s="11"/>
      <c r="M115" s="96"/>
      <c r="N115" s="11" t="str">
        <f t="shared" si="4"/>
        <v>Unbranded Treatment Unbranded DLBCL Developments DLBCL Infusion Therapy 2 or 3</v>
      </c>
      <c r="O115" s="11" t="str">
        <f t="shared" si="5"/>
        <v xml:space="preserve"> </v>
      </c>
    </row>
    <row r="116" spans="1:15" ht="15" customHeight="1" x14ac:dyDescent="0.3">
      <c r="A116" s="109" t="s">
        <v>92</v>
      </c>
      <c r="B116" s="105" t="s">
        <v>95</v>
      </c>
      <c r="C116" s="105" t="s">
        <v>57</v>
      </c>
      <c r="D116" s="98">
        <f t="shared" si="0"/>
        <v>8</v>
      </c>
      <c r="E116" s="92" t="s">
        <v>51</v>
      </c>
      <c r="F116" s="106"/>
      <c r="G116" s="99">
        <f t="shared" si="1"/>
        <v>90</v>
      </c>
      <c r="H116" s="106"/>
      <c r="I116" s="106"/>
      <c r="J116" s="11"/>
      <c r="K116" s="11"/>
      <c r="L116" s="11"/>
      <c r="M116" s="96"/>
      <c r="N116" s="11" t="str">
        <f t="shared" si="4"/>
        <v>Unbranded Treatment Unbranded DLBCL Developments Clinical Trial Results 2 or 3</v>
      </c>
      <c r="O116" s="11" t="str">
        <f t="shared" si="5"/>
        <v xml:space="preserve"> </v>
      </c>
    </row>
    <row r="117" spans="1:15" ht="15" customHeight="1" x14ac:dyDescent="0.3">
      <c r="A117" s="109" t="s">
        <v>92</v>
      </c>
      <c r="B117" s="105" t="s">
        <v>95</v>
      </c>
      <c r="C117" s="98" t="s">
        <v>58</v>
      </c>
      <c r="D117" s="98">
        <f t="shared" si="0"/>
        <v>6</v>
      </c>
      <c r="E117" s="92" t="s">
        <v>51</v>
      </c>
      <c r="F117" s="106"/>
      <c r="G117" s="99">
        <f t="shared" si="1"/>
        <v>90</v>
      </c>
      <c r="H117" s="106"/>
      <c r="I117" s="106"/>
      <c r="J117" s="11"/>
      <c r="K117" s="11"/>
      <c r="L117" s="11"/>
      <c r="M117" s="96"/>
      <c r="N117" s="11" t="str">
        <f t="shared" si="4"/>
        <v>Unbranded Treatment Unbranded DLBCL Developments Information For Patients 2 or 3</v>
      </c>
      <c r="O117" s="11" t="str">
        <f t="shared" si="5"/>
        <v xml:space="preserve"> </v>
      </c>
    </row>
    <row r="118" spans="1:15" ht="15" customHeight="1" x14ac:dyDescent="0.3">
      <c r="A118" s="109" t="s">
        <v>92</v>
      </c>
      <c r="B118" s="105" t="s">
        <v>95</v>
      </c>
      <c r="C118" s="98" t="s">
        <v>59</v>
      </c>
      <c r="D118" s="98">
        <f t="shared" si="0"/>
        <v>1</v>
      </c>
      <c r="E118" s="92" t="s">
        <v>51</v>
      </c>
      <c r="F118" s="106"/>
      <c r="G118" s="99">
        <f t="shared" si="1"/>
        <v>90</v>
      </c>
      <c r="H118" s="106"/>
      <c r="I118" s="106"/>
      <c r="J118" s="11"/>
      <c r="K118" s="11"/>
      <c r="L118" s="11"/>
      <c r="M118" s="96"/>
      <c r="N118" s="11" t="str">
        <f t="shared" si="4"/>
        <v>Unbranded Treatment Unbranded DLBCL Developments Efficacy &amp; Safety Information 2 or 3</v>
      </c>
      <c r="O118" s="11" t="str">
        <f t="shared" si="5"/>
        <v xml:space="preserve"> </v>
      </c>
    </row>
    <row r="119" spans="1:15" ht="15" customHeight="1" x14ac:dyDescent="0.3">
      <c r="A119" s="109" t="s">
        <v>92</v>
      </c>
      <c r="B119" s="105" t="s">
        <v>95</v>
      </c>
      <c r="C119" s="98" t="s">
        <v>72</v>
      </c>
      <c r="D119" s="98">
        <f t="shared" si="0"/>
        <v>1</v>
      </c>
      <c r="E119" s="92" t="s">
        <v>51</v>
      </c>
      <c r="F119" s="106"/>
      <c r="G119" s="99">
        <f t="shared" si="1"/>
        <v>90</v>
      </c>
      <c r="H119" s="106"/>
      <c r="I119" s="106"/>
      <c r="J119" s="11"/>
      <c r="K119" s="11"/>
      <c r="L119" s="11"/>
      <c r="M119" s="96"/>
      <c r="N119" s="11" t="str">
        <f t="shared" si="4"/>
        <v>Unbranded Treatment Unbranded DLBCL Developments Diffuse Large B-Cell Lymphoma 2 or 3</v>
      </c>
      <c r="O119" s="11" t="str">
        <f t="shared" si="5"/>
        <v xml:space="preserve"> </v>
      </c>
    </row>
    <row r="120" spans="1:15" ht="15" customHeight="1" x14ac:dyDescent="0.3">
      <c r="A120" s="109" t="s">
        <v>92</v>
      </c>
      <c r="B120" s="105" t="s">
        <v>95</v>
      </c>
      <c r="C120" s="98" t="s">
        <v>73</v>
      </c>
      <c r="D120" s="98">
        <f t="shared" si="0"/>
        <v>5</v>
      </c>
      <c r="E120" s="92" t="s">
        <v>51</v>
      </c>
      <c r="F120" s="106"/>
      <c r="G120" s="99">
        <f t="shared" si="1"/>
        <v>90</v>
      </c>
      <c r="H120" s="106"/>
      <c r="I120" s="106"/>
      <c r="J120" s="11"/>
      <c r="K120" s="11"/>
      <c r="L120" s="11"/>
      <c r="M120" s="96"/>
      <c r="N120" s="11" t="str">
        <f t="shared" si="4"/>
        <v>Unbranded Treatment Unbranded DLBCL Developments DLBCL Clinical Study Data 2 or 3</v>
      </c>
      <c r="O120" s="11" t="str">
        <f t="shared" si="5"/>
        <v xml:space="preserve"> </v>
      </c>
    </row>
    <row r="121" spans="1:15" ht="15" customHeight="1" x14ac:dyDescent="0.3">
      <c r="A121" s="109" t="s">
        <v>92</v>
      </c>
      <c r="B121" s="105" t="s">
        <v>95</v>
      </c>
      <c r="C121" s="98" t="s">
        <v>60</v>
      </c>
      <c r="D121" s="98">
        <f t="shared" si="0"/>
        <v>19</v>
      </c>
      <c r="E121" s="92" t="s">
        <v>51</v>
      </c>
      <c r="F121" s="106"/>
      <c r="G121" s="99">
        <f t="shared" si="1"/>
        <v>90</v>
      </c>
      <c r="H121" s="106"/>
      <c r="I121" s="106"/>
      <c r="J121" s="11"/>
      <c r="K121" s="11"/>
      <c r="L121" s="11"/>
      <c r="M121" s="96"/>
      <c r="N121" s="11" t="str">
        <f t="shared" si="4"/>
        <v>Unbranded Treatment Unbranded DLBCL Developments About DLBCL 2 or 3</v>
      </c>
      <c r="O121" s="11" t="str">
        <f t="shared" si="5"/>
        <v xml:space="preserve"> </v>
      </c>
    </row>
    <row r="122" spans="1:15" ht="15" customHeight="1" x14ac:dyDescent="0.3">
      <c r="A122" s="109" t="s">
        <v>92</v>
      </c>
      <c r="B122" s="105" t="s">
        <v>95</v>
      </c>
      <c r="C122" s="98" t="s">
        <v>99</v>
      </c>
      <c r="D122" s="98">
        <f t="shared" si="0"/>
        <v>16</v>
      </c>
      <c r="E122" s="92" t="s">
        <v>51</v>
      </c>
      <c r="F122" s="106"/>
      <c r="G122" s="99">
        <f t="shared" si="1"/>
        <v>90</v>
      </c>
      <c r="H122" s="106"/>
      <c r="I122" s="106"/>
      <c r="J122" s="11"/>
      <c r="K122" s="11"/>
      <c r="L122" s="11"/>
      <c r="M122" s="96"/>
      <c r="N122" s="11" t="str">
        <f t="shared" si="4"/>
        <v>Unbranded Treatment Unbranded DLBCL Developments DLBCL Symptoms 2 or 3</v>
      </c>
      <c r="O122" s="11" t="str">
        <f t="shared" si="5"/>
        <v xml:space="preserve"> </v>
      </c>
    </row>
    <row r="123" spans="1:15" ht="15" customHeight="1" x14ac:dyDescent="0.3">
      <c r="A123" s="109" t="s">
        <v>92</v>
      </c>
      <c r="B123" s="105" t="s">
        <v>95</v>
      </c>
      <c r="C123" s="98" t="s">
        <v>384</v>
      </c>
      <c r="D123" s="98">
        <f t="shared" si="0"/>
        <v>7</v>
      </c>
      <c r="E123" s="92" t="s">
        <v>51</v>
      </c>
      <c r="F123" s="106"/>
      <c r="G123" s="99">
        <f t="shared" si="1"/>
        <v>90</v>
      </c>
      <c r="H123" s="106"/>
      <c r="I123" s="106"/>
      <c r="J123" s="11"/>
      <c r="K123" s="11"/>
      <c r="L123" s="11"/>
      <c r="M123" s="96"/>
      <c r="N123" s="11" t="str">
        <f t="shared" si="4"/>
        <v>Unbranded Treatment Unbranded DLBCL Developments Prescribing Information 2 or 3</v>
      </c>
      <c r="O123" s="11" t="str">
        <f t="shared" si="5"/>
        <v xml:space="preserve"> </v>
      </c>
    </row>
    <row r="124" spans="1:15" ht="15" customHeight="1" x14ac:dyDescent="0.3">
      <c r="A124" s="97" t="s">
        <v>92</v>
      </c>
      <c r="B124" s="98" t="s">
        <v>98</v>
      </c>
      <c r="C124" s="98" t="s">
        <v>49</v>
      </c>
      <c r="D124" s="98">
        <f t="shared" si="0"/>
        <v>0</v>
      </c>
      <c r="E124" s="92">
        <v>1</v>
      </c>
      <c r="F124" s="93" t="s">
        <v>63</v>
      </c>
      <c r="G124" s="99">
        <f t="shared" si="1"/>
        <v>2</v>
      </c>
      <c r="H124" s="100" t="s">
        <v>64</v>
      </c>
      <c r="I124" s="95" t="s">
        <v>380</v>
      </c>
      <c r="J124" s="11"/>
      <c r="K124" s="11"/>
      <c r="L124" s="11"/>
      <c r="M124" s="96"/>
      <c r="N124" s="11" t="str">
        <f t="shared" si="4"/>
        <v>Unbranded Treatment Unbranded DLBCL Treatment Treatment Option For 3L+ DLBCL 1</v>
      </c>
      <c r="O124" s="11" t="str">
        <f t="shared" si="5"/>
        <v>Discover A Fixed-Duration Treatment Option For 3L+ DLBCL And View Important Safety Info. Any</v>
      </c>
    </row>
    <row r="125" spans="1:15" ht="15" customHeight="1" x14ac:dyDescent="0.3">
      <c r="A125" s="97" t="s">
        <v>92</v>
      </c>
      <c r="B125" s="98" t="s">
        <v>98</v>
      </c>
      <c r="C125" s="98" t="s">
        <v>50</v>
      </c>
      <c r="D125" s="98">
        <f t="shared" si="0"/>
        <v>1</v>
      </c>
      <c r="E125" s="92" t="s">
        <v>51</v>
      </c>
      <c r="F125" s="93" t="s">
        <v>65</v>
      </c>
      <c r="G125" s="99">
        <f t="shared" si="1"/>
        <v>7</v>
      </c>
      <c r="H125" s="100" t="s">
        <v>64</v>
      </c>
      <c r="I125" s="101" t="s">
        <v>380</v>
      </c>
      <c r="J125" s="11"/>
      <c r="K125" s="11"/>
      <c r="L125" s="11"/>
      <c r="M125" s="96"/>
      <c r="N125" s="11" t="str">
        <f t="shared" si="4"/>
        <v>Unbranded Treatment Unbranded DLBCL Treatment Download The Patient Brochure 2 or 3</v>
      </c>
      <c r="O125" s="11" t="str">
        <f t="shared" si="5"/>
        <v>Download The Patient Brochure To Learn More About A DLBCL Fixed-Duration Treatment. Any</v>
      </c>
    </row>
    <row r="126" spans="1:15" ht="15" customHeight="1" x14ac:dyDescent="0.3">
      <c r="A126" s="97" t="s">
        <v>92</v>
      </c>
      <c r="B126" s="98" t="s">
        <v>98</v>
      </c>
      <c r="C126" s="98" t="s">
        <v>52</v>
      </c>
      <c r="D126" s="98">
        <f t="shared" si="0"/>
        <v>8</v>
      </c>
      <c r="E126" s="92" t="s">
        <v>51</v>
      </c>
      <c r="F126" s="102" t="s">
        <v>66</v>
      </c>
      <c r="G126" s="99">
        <f t="shared" si="1"/>
        <v>5</v>
      </c>
      <c r="H126" s="100" t="s">
        <v>64</v>
      </c>
      <c r="I126" s="95" t="s">
        <v>380</v>
      </c>
      <c r="J126" s="11"/>
      <c r="K126" s="11"/>
      <c r="L126" s="11"/>
      <c r="M126" s="96"/>
      <c r="N126" s="11" t="str">
        <f t="shared" si="4"/>
        <v>Unbranded Treatment Unbranded DLBCL Treatment Resources For Patients 2 or 3</v>
      </c>
      <c r="O126" s="11" t="str">
        <f t="shared" si="5"/>
        <v>Explore An Infusion Option For Diffuse Large B Cell Lymphoma &amp; View Clinical Results. Any</v>
      </c>
    </row>
    <row r="127" spans="1:15" ht="15" customHeight="1" x14ac:dyDescent="0.3">
      <c r="A127" s="97" t="s">
        <v>92</v>
      </c>
      <c r="B127" s="98" t="s">
        <v>98</v>
      </c>
      <c r="C127" s="105" t="s">
        <v>53</v>
      </c>
      <c r="D127" s="98">
        <f t="shared" si="0"/>
        <v>2</v>
      </c>
      <c r="E127" s="92" t="s">
        <v>51</v>
      </c>
      <c r="F127" s="108" t="s">
        <v>74</v>
      </c>
      <c r="G127" s="99">
        <f t="shared" si="1"/>
        <v>6</v>
      </c>
      <c r="H127" s="103" t="s">
        <v>64</v>
      </c>
      <c r="I127" s="95" t="s">
        <v>380</v>
      </c>
      <c r="J127" s="11"/>
      <c r="K127" s="11"/>
      <c r="L127" s="11"/>
      <c r="M127" s="96"/>
      <c r="N127" s="11" t="str">
        <f t="shared" si="4"/>
        <v>Unbranded Treatment Unbranded DLBCL Treatment Financial Assistance Options 2 or 3</v>
      </c>
      <c r="O127" s="11" t="str">
        <f t="shared" si="5"/>
        <v>Learn More About Starting Treatment For 3L+ DLBCL After Two Or More Prior Therapies. Any</v>
      </c>
    </row>
    <row r="128" spans="1:15" ht="15" customHeight="1" x14ac:dyDescent="0.3">
      <c r="A128" s="97" t="s">
        <v>92</v>
      </c>
      <c r="B128" s="98" t="s">
        <v>98</v>
      </c>
      <c r="C128" s="105" t="s">
        <v>54</v>
      </c>
      <c r="D128" s="98">
        <f t="shared" si="0"/>
        <v>2</v>
      </c>
      <c r="E128" s="92" t="s">
        <v>51</v>
      </c>
      <c r="F128" s="106"/>
      <c r="G128" s="99">
        <f t="shared" si="1"/>
        <v>90</v>
      </c>
      <c r="H128" s="106"/>
      <c r="I128" s="106"/>
      <c r="J128" s="11"/>
      <c r="K128" s="11"/>
      <c r="L128" s="11"/>
      <c r="M128" s="96"/>
      <c r="N128" s="11" t="str">
        <f t="shared" si="4"/>
        <v>Unbranded Treatment Unbranded DLBCL Treatment Important Safety Information 2 or 3</v>
      </c>
      <c r="O128" s="11" t="str">
        <f t="shared" si="5"/>
        <v xml:space="preserve"> </v>
      </c>
    </row>
    <row r="129" spans="1:15" ht="15" customHeight="1" x14ac:dyDescent="0.3">
      <c r="A129" s="97" t="s">
        <v>92</v>
      </c>
      <c r="B129" s="98" t="s">
        <v>98</v>
      </c>
      <c r="C129" s="105" t="s">
        <v>55</v>
      </c>
      <c r="D129" s="98">
        <f t="shared" si="0"/>
        <v>2</v>
      </c>
      <c r="E129" s="92" t="s">
        <v>51</v>
      </c>
      <c r="F129" s="106"/>
      <c r="G129" s="99">
        <f t="shared" si="1"/>
        <v>90</v>
      </c>
      <c r="H129" s="106"/>
      <c r="I129" s="106"/>
      <c r="J129" s="11"/>
      <c r="K129" s="11"/>
      <c r="L129" s="11"/>
      <c r="M129" s="96"/>
      <c r="N129" s="11" t="str">
        <f t="shared" si="4"/>
        <v>Unbranded Treatment Unbranded DLBCL Treatment Questions To Ask Your Doctor 2 or 3</v>
      </c>
      <c r="O129" s="11" t="str">
        <f t="shared" si="5"/>
        <v xml:space="preserve"> </v>
      </c>
    </row>
    <row r="130" spans="1:15" ht="15" customHeight="1" x14ac:dyDescent="0.3">
      <c r="A130" s="97" t="s">
        <v>92</v>
      </c>
      <c r="B130" s="98" t="s">
        <v>98</v>
      </c>
      <c r="C130" s="105" t="s">
        <v>56</v>
      </c>
      <c r="D130" s="98">
        <f t="shared" si="0"/>
        <v>8</v>
      </c>
      <c r="E130" s="92" t="s">
        <v>51</v>
      </c>
      <c r="F130" s="106"/>
      <c r="G130" s="99">
        <f t="shared" si="1"/>
        <v>90</v>
      </c>
      <c r="H130" s="106"/>
      <c r="I130" s="106"/>
      <c r="J130" s="11"/>
      <c r="K130" s="11"/>
      <c r="L130" s="11"/>
      <c r="M130" s="96"/>
      <c r="N130" s="11" t="str">
        <f t="shared" si="4"/>
        <v>Unbranded Treatment Unbranded DLBCL Treatment DLBCL Infusion Therapy 2 or 3</v>
      </c>
      <c r="O130" s="11" t="str">
        <f t="shared" si="5"/>
        <v xml:space="preserve"> </v>
      </c>
    </row>
    <row r="131" spans="1:15" ht="15" customHeight="1" x14ac:dyDescent="0.3">
      <c r="A131" s="97" t="s">
        <v>92</v>
      </c>
      <c r="B131" s="98" t="s">
        <v>98</v>
      </c>
      <c r="C131" s="105" t="s">
        <v>57</v>
      </c>
      <c r="D131" s="98">
        <f t="shared" si="0"/>
        <v>8</v>
      </c>
      <c r="E131" s="92" t="s">
        <v>51</v>
      </c>
      <c r="F131" s="106"/>
      <c r="G131" s="99">
        <f t="shared" si="1"/>
        <v>90</v>
      </c>
      <c r="H131" s="106"/>
      <c r="I131" s="106"/>
      <c r="J131" s="11"/>
      <c r="K131" s="11"/>
      <c r="L131" s="11"/>
      <c r="M131" s="96"/>
      <c r="N131" s="11" t="str">
        <f t="shared" si="4"/>
        <v>Unbranded Treatment Unbranded DLBCL Treatment Clinical Trial Results 2 or 3</v>
      </c>
      <c r="O131" s="11" t="str">
        <f t="shared" si="5"/>
        <v xml:space="preserve"> </v>
      </c>
    </row>
    <row r="132" spans="1:15" ht="15" customHeight="1" x14ac:dyDescent="0.3">
      <c r="A132" s="97" t="s">
        <v>92</v>
      </c>
      <c r="B132" s="98" t="s">
        <v>98</v>
      </c>
      <c r="C132" s="98" t="s">
        <v>58</v>
      </c>
      <c r="D132" s="98">
        <f t="shared" si="0"/>
        <v>6</v>
      </c>
      <c r="E132" s="92" t="s">
        <v>51</v>
      </c>
      <c r="F132" s="106"/>
      <c r="G132" s="99">
        <f t="shared" si="1"/>
        <v>90</v>
      </c>
      <c r="H132" s="106"/>
      <c r="I132" s="106"/>
      <c r="J132" s="11"/>
      <c r="K132" s="11"/>
      <c r="L132" s="11"/>
      <c r="M132" s="96"/>
      <c r="N132" s="11" t="str">
        <f t="shared" si="4"/>
        <v>Unbranded Treatment Unbranded DLBCL Treatment Information For Patients 2 or 3</v>
      </c>
      <c r="O132" s="11" t="str">
        <f t="shared" si="5"/>
        <v xml:space="preserve"> </v>
      </c>
    </row>
    <row r="133" spans="1:15" ht="15" customHeight="1" x14ac:dyDescent="0.3">
      <c r="A133" s="97" t="s">
        <v>92</v>
      </c>
      <c r="B133" s="98" t="s">
        <v>98</v>
      </c>
      <c r="C133" s="98" t="s">
        <v>59</v>
      </c>
      <c r="D133" s="98">
        <f t="shared" si="0"/>
        <v>1</v>
      </c>
      <c r="E133" s="92" t="s">
        <v>51</v>
      </c>
      <c r="F133" s="106"/>
      <c r="G133" s="99">
        <f t="shared" si="1"/>
        <v>90</v>
      </c>
      <c r="H133" s="106"/>
      <c r="I133" s="106"/>
      <c r="J133" s="11"/>
      <c r="K133" s="11"/>
      <c r="L133" s="11"/>
      <c r="M133" s="96"/>
      <c r="N133" s="11" t="str">
        <f t="shared" si="4"/>
        <v>Unbranded Treatment Unbranded DLBCL Treatment Efficacy &amp; Safety Information 2 or 3</v>
      </c>
      <c r="O133" s="11" t="str">
        <f t="shared" si="5"/>
        <v xml:space="preserve"> </v>
      </c>
    </row>
    <row r="134" spans="1:15" ht="15" customHeight="1" x14ac:dyDescent="0.3">
      <c r="A134" s="109" t="s">
        <v>92</v>
      </c>
      <c r="B134" s="98" t="s">
        <v>98</v>
      </c>
      <c r="C134" s="98" t="s">
        <v>99</v>
      </c>
      <c r="D134" s="98">
        <f t="shared" si="0"/>
        <v>16</v>
      </c>
      <c r="E134" s="92" t="s">
        <v>51</v>
      </c>
      <c r="F134" s="106"/>
      <c r="G134" s="99">
        <f t="shared" si="1"/>
        <v>90</v>
      </c>
      <c r="H134" s="106"/>
      <c r="I134" s="106"/>
      <c r="J134" s="11"/>
      <c r="K134" s="11"/>
      <c r="L134" s="11"/>
      <c r="M134" s="96"/>
      <c r="N134" s="11" t="str">
        <f t="shared" si="4"/>
        <v>Unbranded Treatment Unbranded DLBCL Treatment DLBCL Symptoms 2 or 3</v>
      </c>
      <c r="O134" s="11" t="str">
        <f t="shared" si="5"/>
        <v xml:space="preserve"> </v>
      </c>
    </row>
    <row r="135" spans="1:15" ht="15" customHeight="1" x14ac:dyDescent="0.3">
      <c r="A135" s="109" t="s">
        <v>92</v>
      </c>
      <c r="B135" s="98" t="s">
        <v>98</v>
      </c>
      <c r="C135" s="98" t="s">
        <v>100</v>
      </c>
      <c r="D135" s="98">
        <f t="shared" si="0"/>
        <v>4</v>
      </c>
      <c r="E135" s="92" t="s">
        <v>51</v>
      </c>
      <c r="F135" s="106"/>
      <c r="G135" s="99">
        <f t="shared" si="1"/>
        <v>90</v>
      </c>
      <c r="H135" s="106"/>
      <c r="I135" s="106"/>
      <c r="J135" s="11"/>
      <c r="K135" s="11"/>
      <c r="L135" s="11"/>
      <c r="M135" s="96"/>
      <c r="N135" s="11" t="str">
        <f t="shared" si="4"/>
        <v>Unbranded Treatment Unbranded DLBCL Treatment 3L+ DLBCL Treatment Option 2 or 3</v>
      </c>
      <c r="O135" s="11" t="str">
        <f t="shared" si="5"/>
        <v xml:space="preserve"> </v>
      </c>
    </row>
    <row r="136" spans="1:15" ht="15" customHeight="1" x14ac:dyDescent="0.3">
      <c r="A136" s="109" t="s">
        <v>92</v>
      </c>
      <c r="B136" s="98" t="s">
        <v>98</v>
      </c>
      <c r="C136" s="98" t="s">
        <v>72</v>
      </c>
      <c r="D136" s="98">
        <f t="shared" si="0"/>
        <v>1</v>
      </c>
      <c r="E136" s="92" t="s">
        <v>51</v>
      </c>
      <c r="F136" s="106"/>
      <c r="G136" s="99">
        <f t="shared" si="1"/>
        <v>90</v>
      </c>
      <c r="H136" s="106"/>
      <c r="I136" s="106"/>
      <c r="J136" s="11"/>
      <c r="K136" s="11"/>
      <c r="L136" s="11"/>
      <c r="M136" s="96"/>
      <c r="N136" s="11" t="str">
        <f t="shared" si="4"/>
        <v>Unbranded Treatment Unbranded DLBCL Treatment Diffuse Large B-Cell Lymphoma 2 or 3</v>
      </c>
      <c r="O136" s="11" t="str">
        <f t="shared" si="5"/>
        <v xml:space="preserve"> </v>
      </c>
    </row>
    <row r="137" spans="1:15" ht="15" customHeight="1" x14ac:dyDescent="0.3">
      <c r="A137" s="109" t="s">
        <v>92</v>
      </c>
      <c r="B137" s="98" t="s">
        <v>98</v>
      </c>
      <c r="C137" s="98" t="s">
        <v>382</v>
      </c>
      <c r="D137" s="98">
        <f t="shared" si="0"/>
        <v>6</v>
      </c>
      <c r="E137" s="92" t="s">
        <v>51</v>
      </c>
      <c r="F137" s="106"/>
      <c r="G137" s="99">
        <f t="shared" si="1"/>
        <v>90</v>
      </c>
      <c r="H137" s="106"/>
      <c r="I137" s="106"/>
      <c r="J137" s="11"/>
      <c r="K137" s="11"/>
      <c r="L137" s="11"/>
      <c r="M137" s="96"/>
      <c r="N137" s="11" t="str">
        <f t="shared" si="4"/>
        <v>Unbranded Treatment Unbranded DLBCL Treatment 3L+ DLBCL Treatment Info 2 or 3</v>
      </c>
      <c r="O137" s="11" t="str">
        <f t="shared" si="5"/>
        <v xml:space="preserve"> </v>
      </c>
    </row>
    <row r="138" spans="1:15" ht="15" customHeight="1" x14ac:dyDescent="0.3">
      <c r="A138" s="109" t="s">
        <v>92</v>
      </c>
      <c r="B138" s="98" t="s">
        <v>98</v>
      </c>
      <c r="C138" s="98" t="s">
        <v>381</v>
      </c>
      <c r="D138" s="98">
        <f t="shared" si="0"/>
        <v>4</v>
      </c>
      <c r="E138" s="92" t="s">
        <v>51</v>
      </c>
      <c r="F138" s="106"/>
      <c r="G138" s="99">
        <f t="shared" si="1"/>
        <v>90</v>
      </c>
      <c r="H138" s="106"/>
      <c r="I138" s="106"/>
      <c r="J138" s="11"/>
      <c r="K138" s="11"/>
      <c r="L138" s="11"/>
      <c r="M138" s="96"/>
      <c r="N138" s="11" t="str">
        <f t="shared" si="4"/>
        <v>Unbranded Treatment Unbranded DLBCL Treatment A Fixed-Duration Treatment 2 or 3</v>
      </c>
      <c r="O138" s="11" t="str">
        <f t="shared" si="5"/>
        <v xml:space="preserve"> </v>
      </c>
    </row>
    <row r="139" spans="1:15" ht="15" customHeight="1" x14ac:dyDescent="0.3">
      <c r="A139" s="109" t="s">
        <v>92</v>
      </c>
      <c r="B139" s="98" t="s">
        <v>103</v>
      </c>
      <c r="C139" s="98" t="s">
        <v>104</v>
      </c>
      <c r="D139" s="98">
        <f t="shared" si="0"/>
        <v>6</v>
      </c>
      <c r="E139" s="92">
        <v>1</v>
      </c>
      <c r="F139" s="93" t="s">
        <v>63</v>
      </c>
      <c r="G139" s="99">
        <f t="shared" si="1"/>
        <v>2</v>
      </c>
      <c r="H139" s="100" t="s">
        <v>64</v>
      </c>
      <c r="I139" s="95" t="s">
        <v>380</v>
      </c>
      <c r="J139" s="11"/>
      <c r="K139" s="11"/>
      <c r="L139" s="11"/>
      <c r="M139" s="96"/>
      <c r="N139" s="11" t="str">
        <f t="shared" si="4"/>
        <v>Unbranded Treatment Unbranded DLBCL Medication Medication For 3L+ DLBCL 1</v>
      </c>
      <c r="O139" s="11" t="str">
        <f t="shared" si="5"/>
        <v>Discover A Fixed-Duration Treatment Option For 3L+ DLBCL And View Important Safety Info. Any</v>
      </c>
    </row>
    <row r="140" spans="1:15" ht="15" customHeight="1" x14ac:dyDescent="0.3">
      <c r="A140" s="109" t="s">
        <v>92</v>
      </c>
      <c r="B140" s="98" t="s">
        <v>103</v>
      </c>
      <c r="C140" s="98" t="s">
        <v>50</v>
      </c>
      <c r="D140" s="98">
        <f t="shared" si="0"/>
        <v>1</v>
      </c>
      <c r="E140" s="92" t="s">
        <v>51</v>
      </c>
      <c r="F140" s="93" t="s">
        <v>65</v>
      </c>
      <c r="G140" s="99">
        <f t="shared" si="1"/>
        <v>7</v>
      </c>
      <c r="H140" s="100" t="s">
        <v>64</v>
      </c>
      <c r="I140" s="101" t="s">
        <v>380</v>
      </c>
      <c r="J140" s="11"/>
      <c r="K140" s="11"/>
      <c r="L140" s="11"/>
      <c r="M140" s="96"/>
      <c r="N140" s="11" t="str">
        <f t="shared" si="4"/>
        <v>Unbranded Treatment Unbranded DLBCL Medication Download The Patient Brochure 2 or 3</v>
      </c>
      <c r="O140" s="11" t="str">
        <f t="shared" si="5"/>
        <v>Download The Patient Brochure To Learn More About A DLBCL Fixed-Duration Treatment. Any</v>
      </c>
    </row>
    <row r="141" spans="1:15" ht="15" customHeight="1" x14ac:dyDescent="0.3">
      <c r="A141" s="109" t="s">
        <v>92</v>
      </c>
      <c r="B141" s="98" t="s">
        <v>103</v>
      </c>
      <c r="C141" s="98" t="s">
        <v>52</v>
      </c>
      <c r="D141" s="98">
        <f t="shared" si="0"/>
        <v>8</v>
      </c>
      <c r="E141" s="92" t="s">
        <v>51</v>
      </c>
      <c r="F141" s="102" t="s">
        <v>66</v>
      </c>
      <c r="G141" s="99">
        <f t="shared" si="1"/>
        <v>5</v>
      </c>
      <c r="H141" s="100" t="s">
        <v>64</v>
      </c>
      <c r="I141" s="95" t="s">
        <v>380</v>
      </c>
      <c r="J141" s="11"/>
      <c r="K141" s="11"/>
      <c r="L141" s="11"/>
      <c r="M141" s="96"/>
      <c r="N141" s="11" t="str">
        <f t="shared" si="4"/>
        <v>Unbranded Treatment Unbranded DLBCL Medication Resources For Patients 2 or 3</v>
      </c>
      <c r="O141" s="11" t="str">
        <f t="shared" si="5"/>
        <v>Explore An Infusion Option For Diffuse Large B Cell Lymphoma &amp; View Clinical Results. Any</v>
      </c>
    </row>
    <row r="142" spans="1:15" ht="15" customHeight="1" x14ac:dyDescent="0.3">
      <c r="A142" s="109" t="s">
        <v>92</v>
      </c>
      <c r="B142" s="98" t="s">
        <v>103</v>
      </c>
      <c r="C142" s="105" t="s">
        <v>53</v>
      </c>
      <c r="D142" s="98">
        <f t="shared" si="0"/>
        <v>2</v>
      </c>
      <c r="E142" s="92" t="s">
        <v>51</v>
      </c>
      <c r="F142" s="108" t="s">
        <v>74</v>
      </c>
      <c r="G142" s="99">
        <f t="shared" si="1"/>
        <v>6</v>
      </c>
      <c r="H142" s="103" t="s">
        <v>64</v>
      </c>
      <c r="I142" s="95" t="s">
        <v>380</v>
      </c>
      <c r="J142" s="11"/>
      <c r="K142" s="11"/>
      <c r="L142" s="11"/>
      <c r="M142" s="96"/>
      <c r="N142" s="11" t="str">
        <f t="shared" si="4"/>
        <v>Unbranded Treatment Unbranded DLBCL Medication Financial Assistance Options 2 or 3</v>
      </c>
      <c r="O142" s="11" t="str">
        <f t="shared" si="5"/>
        <v>Learn More About Starting Treatment For 3L+ DLBCL After Two Or More Prior Therapies. Any</v>
      </c>
    </row>
    <row r="143" spans="1:15" ht="15" customHeight="1" x14ac:dyDescent="0.3">
      <c r="A143" s="109" t="s">
        <v>92</v>
      </c>
      <c r="B143" s="98" t="s">
        <v>103</v>
      </c>
      <c r="C143" s="105" t="s">
        <v>54</v>
      </c>
      <c r="D143" s="98">
        <f t="shared" si="0"/>
        <v>2</v>
      </c>
      <c r="E143" s="92" t="s">
        <v>51</v>
      </c>
      <c r="F143" s="106"/>
      <c r="G143" s="99">
        <f t="shared" si="1"/>
        <v>90</v>
      </c>
      <c r="H143" s="106"/>
      <c r="I143" s="106"/>
      <c r="J143" s="11"/>
      <c r="K143" s="11"/>
      <c r="L143" s="11"/>
      <c r="M143" s="96"/>
      <c r="N143" s="11" t="str">
        <f t="shared" si="4"/>
        <v>Unbranded Treatment Unbranded DLBCL Medication Important Safety Information 2 or 3</v>
      </c>
      <c r="O143" s="11" t="str">
        <f t="shared" si="5"/>
        <v xml:space="preserve"> </v>
      </c>
    </row>
    <row r="144" spans="1:15" ht="15" customHeight="1" x14ac:dyDescent="0.3">
      <c r="A144" s="109" t="s">
        <v>92</v>
      </c>
      <c r="B144" s="98" t="s">
        <v>103</v>
      </c>
      <c r="C144" s="105" t="s">
        <v>55</v>
      </c>
      <c r="D144" s="98">
        <f t="shared" si="0"/>
        <v>2</v>
      </c>
      <c r="E144" s="92" t="s">
        <v>51</v>
      </c>
      <c r="F144" s="106"/>
      <c r="G144" s="99">
        <f t="shared" si="1"/>
        <v>90</v>
      </c>
      <c r="H144" s="106"/>
      <c r="I144" s="106"/>
      <c r="J144" s="11"/>
      <c r="K144" s="11"/>
      <c r="L144" s="11"/>
      <c r="M144" s="96"/>
      <c r="N144" s="11" t="str">
        <f t="shared" si="4"/>
        <v>Unbranded Treatment Unbranded DLBCL Medication Questions To Ask Your Doctor 2 or 3</v>
      </c>
      <c r="O144" s="11" t="str">
        <f t="shared" si="5"/>
        <v xml:space="preserve"> </v>
      </c>
    </row>
    <row r="145" spans="1:15" ht="15" customHeight="1" x14ac:dyDescent="0.3">
      <c r="A145" s="109" t="s">
        <v>92</v>
      </c>
      <c r="B145" s="98" t="s">
        <v>103</v>
      </c>
      <c r="C145" s="105" t="s">
        <v>56</v>
      </c>
      <c r="D145" s="98">
        <f t="shared" si="0"/>
        <v>8</v>
      </c>
      <c r="E145" s="92" t="s">
        <v>51</v>
      </c>
      <c r="F145" s="106"/>
      <c r="G145" s="99">
        <f t="shared" si="1"/>
        <v>90</v>
      </c>
      <c r="H145" s="106"/>
      <c r="I145" s="106"/>
      <c r="J145" s="11"/>
      <c r="K145" s="11"/>
      <c r="L145" s="11"/>
      <c r="M145" s="96"/>
      <c r="N145" s="11" t="str">
        <f t="shared" si="4"/>
        <v>Unbranded Treatment Unbranded DLBCL Medication DLBCL Infusion Therapy 2 or 3</v>
      </c>
      <c r="O145" s="11" t="str">
        <f t="shared" si="5"/>
        <v xml:space="preserve"> </v>
      </c>
    </row>
    <row r="146" spans="1:15" ht="15" customHeight="1" x14ac:dyDescent="0.3">
      <c r="A146" s="109" t="s">
        <v>92</v>
      </c>
      <c r="B146" s="98" t="s">
        <v>103</v>
      </c>
      <c r="C146" s="105" t="s">
        <v>57</v>
      </c>
      <c r="D146" s="98">
        <f t="shared" si="0"/>
        <v>8</v>
      </c>
      <c r="E146" s="92" t="s">
        <v>51</v>
      </c>
      <c r="F146" s="106"/>
      <c r="G146" s="99">
        <f t="shared" si="1"/>
        <v>90</v>
      </c>
      <c r="H146" s="106"/>
      <c r="I146" s="106"/>
      <c r="J146" s="11"/>
      <c r="K146" s="11"/>
      <c r="L146" s="11"/>
      <c r="M146" s="96"/>
      <c r="N146" s="11" t="str">
        <f t="shared" si="4"/>
        <v>Unbranded Treatment Unbranded DLBCL Medication Clinical Trial Results 2 or 3</v>
      </c>
      <c r="O146" s="11" t="str">
        <f t="shared" si="5"/>
        <v xml:space="preserve"> </v>
      </c>
    </row>
    <row r="147" spans="1:15" ht="15" customHeight="1" x14ac:dyDescent="0.3">
      <c r="A147" s="109" t="s">
        <v>92</v>
      </c>
      <c r="B147" s="98" t="s">
        <v>103</v>
      </c>
      <c r="C147" s="98" t="s">
        <v>58</v>
      </c>
      <c r="D147" s="98">
        <f t="shared" si="0"/>
        <v>6</v>
      </c>
      <c r="E147" s="92" t="s">
        <v>51</v>
      </c>
      <c r="F147" s="106"/>
      <c r="G147" s="99">
        <f t="shared" si="1"/>
        <v>90</v>
      </c>
      <c r="H147" s="106"/>
      <c r="I147" s="106"/>
      <c r="J147" s="11"/>
      <c r="K147" s="11"/>
      <c r="L147" s="11"/>
      <c r="M147" s="96"/>
      <c r="N147" s="11" t="str">
        <f t="shared" si="4"/>
        <v>Unbranded Treatment Unbranded DLBCL Medication Information For Patients 2 or 3</v>
      </c>
      <c r="O147" s="11" t="str">
        <f t="shared" si="5"/>
        <v xml:space="preserve"> </v>
      </c>
    </row>
    <row r="148" spans="1:15" ht="15" customHeight="1" x14ac:dyDescent="0.3">
      <c r="A148" s="109" t="s">
        <v>92</v>
      </c>
      <c r="B148" s="98" t="s">
        <v>103</v>
      </c>
      <c r="C148" s="98" t="s">
        <v>59</v>
      </c>
      <c r="D148" s="98">
        <f t="shared" si="0"/>
        <v>1</v>
      </c>
      <c r="E148" s="92" t="s">
        <v>51</v>
      </c>
      <c r="F148" s="106"/>
      <c r="G148" s="99">
        <f t="shared" si="1"/>
        <v>90</v>
      </c>
      <c r="H148" s="106"/>
      <c r="I148" s="106"/>
      <c r="J148" s="11"/>
      <c r="K148" s="11"/>
      <c r="L148" s="11"/>
      <c r="M148" s="96"/>
      <c r="N148" s="11" t="str">
        <f t="shared" ref="N148:N183" si="6">CONCATENATE(A148," ",B148," ",C148," ",E148)</f>
        <v>Unbranded Treatment Unbranded DLBCL Medication Efficacy &amp; Safety Information 2 or 3</v>
      </c>
      <c r="O148" s="11" t="str">
        <f t="shared" ref="O148:O183" si="7">CONCATENATE(F148," ",H148)</f>
        <v xml:space="preserve"> </v>
      </c>
    </row>
    <row r="149" spans="1:15" ht="15" customHeight="1" x14ac:dyDescent="0.3">
      <c r="A149" s="109" t="s">
        <v>92</v>
      </c>
      <c r="B149" s="98" t="s">
        <v>103</v>
      </c>
      <c r="C149" s="98" t="s">
        <v>105</v>
      </c>
      <c r="D149" s="98">
        <f t="shared" si="0"/>
        <v>4</v>
      </c>
      <c r="E149" s="92" t="s">
        <v>51</v>
      </c>
      <c r="F149" s="106"/>
      <c r="G149" s="99">
        <f t="shared" si="1"/>
        <v>90</v>
      </c>
      <c r="H149" s="106"/>
      <c r="I149" s="106"/>
      <c r="J149" s="11"/>
      <c r="K149" s="11"/>
      <c r="L149" s="11"/>
      <c r="M149" s="96"/>
      <c r="N149" s="11" t="str">
        <f t="shared" si="6"/>
        <v>Unbranded Treatment Unbranded DLBCL Medication DLBCL Intravenous Infusion 2 or 3</v>
      </c>
      <c r="O149" s="11" t="str">
        <f t="shared" si="7"/>
        <v xml:space="preserve"> </v>
      </c>
    </row>
    <row r="150" spans="1:15" ht="15" customHeight="1" x14ac:dyDescent="0.3">
      <c r="A150" s="109" t="s">
        <v>92</v>
      </c>
      <c r="B150" s="98" t="s">
        <v>103</v>
      </c>
      <c r="C150" s="98" t="s">
        <v>106</v>
      </c>
      <c r="D150" s="98">
        <f t="shared" si="0"/>
        <v>0</v>
      </c>
      <c r="E150" s="92" t="s">
        <v>51</v>
      </c>
      <c r="F150" s="106"/>
      <c r="G150" s="99">
        <f t="shared" si="1"/>
        <v>90</v>
      </c>
      <c r="H150" s="106"/>
      <c r="I150" s="106"/>
      <c r="J150" s="11"/>
      <c r="K150" s="11"/>
      <c r="L150" s="11"/>
      <c r="M150" s="96"/>
      <c r="N150" s="11" t="str">
        <f t="shared" si="6"/>
        <v>Unbranded Treatment Unbranded DLBCL Medication 3L+ DLBCL Dosing Schedule Info 2 or 3</v>
      </c>
      <c r="O150" s="11" t="str">
        <f t="shared" si="7"/>
        <v xml:space="preserve"> </v>
      </c>
    </row>
    <row r="151" spans="1:15" ht="15" customHeight="1" x14ac:dyDescent="0.3">
      <c r="A151" s="109" t="s">
        <v>92</v>
      </c>
      <c r="B151" s="98" t="s">
        <v>103</v>
      </c>
      <c r="C151" s="98" t="s">
        <v>72</v>
      </c>
      <c r="D151" s="98">
        <f t="shared" si="0"/>
        <v>1</v>
      </c>
      <c r="E151" s="92" t="s">
        <v>51</v>
      </c>
      <c r="F151" s="106"/>
      <c r="G151" s="99">
        <f t="shared" si="1"/>
        <v>90</v>
      </c>
      <c r="H151" s="106"/>
      <c r="I151" s="106"/>
      <c r="J151" s="11"/>
      <c r="K151" s="11"/>
      <c r="L151" s="11"/>
      <c r="M151" s="96"/>
      <c r="N151" s="11" t="str">
        <f t="shared" si="6"/>
        <v>Unbranded Treatment Unbranded DLBCL Medication Diffuse Large B-Cell Lymphoma 2 or 3</v>
      </c>
      <c r="O151" s="11" t="str">
        <f t="shared" si="7"/>
        <v xml:space="preserve"> </v>
      </c>
    </row>
    <row r="152" spans="1:15" ht="15" customHeight="1" x14ac:dyDescent="0.3">
      <c r="A152" s="109" t="s">
        <v>92</v>
      </c>
      <c r="B152" s="98" t="s">
        <v>103</v>
      </c>
      <c r="C152" s="98" t="s">
        <v>385</v>
      </c>
      <c r="D152" s="98">
        <f t="shared" si="0"/>
        <v>10</v>
      </c>
      <c r="E152" s="92" t="s">
        <v>51</v>
      </c>
      <c r="F152" s="106"/>
      <c r="G152" s="99">
        <f t="shared" si="1"/>
        <v>90</v>
      </c>
      <c r="H152" s="106"/>
      <c r="I152" s="106"/>
      <c r="J152" s="11"/>
      <c r="K152" s="11"/>
      <c r="L152" s="11"/>
      <c r="M152" s="96"/>
      <c r="N152" s="11" t="str">
        <f t="shared" si="6"/>
        <v>Unbranded Treatment Unbranded DLBCL Medication 3L+ DLBCL Medication 2 or 3</v>
      </c>
      <c r="O152" s="11" t="str">
        <f t="shared" si="7"/>
        <v xml:space="preserve"> </v>
      </c>
    </row>
    <row r="153" spans="1:15" ht="15" customHeight="1" x14ac:dyDescent="0.3">
      <c r="A153" s="109" t="s">
        <v>92</v>
      </c>
      <c r="B153" s="98" t="s">
        <v>103</v>
      </c>
      <c r="C153" s="98" t="s">
        <v>386</v>
      </c>
      <c r="D153" s="98">
        <f t="shared" si="0"/>
        <v>3</v>
      </c>
      <c r="E153" s="92" t="s">
        <v>51</v>
      </c>
      <c r="F153" s="106"/>
      <c r="G153" s="99">
        <f t="shared" si="1"/>
        <v>90</v>
      </c>
      <c r="H153" s="106"/>
      <c r="I153" s="106"/>
      <c r="J153" s="11"/>
      <c r="K153" s="11"/>
      <c r="L153" s="11"/>
      <c r="M153" s="96"/>
      <c r="N153" s="11" t="str">
        <f t="shared" si="6"/>
        <v>Unbranded Treatment Unbranded DLBCL Medication Medication Option For DLBCL 2 or 3</v>
      </c>
      <c r="O153" s="11" t="str">
        <f t="shared" si="7"/>
        <v xml:space="preserve"> </v>
      </c>
    </row>
    <row r="154" spans="1:15" ht="15" customHeight="1" x14ac:dyDescent="0.3">
      <c r="A154" s="97" t="s">
        <v>92</v>
      </c>
      <c r="B154" s="98" t="s">
        <v>109</v>
      </c>
      <c r="C154" s="98" t="s">
        <v>110</v>
      </c>
      <c r="D154" s="98">
        <f t="shared" si="0"/>
        <v>2</v>
      </c>
      <c r="E154" s="92">
        <v>1</v>
      </c>
      <c r="F154" s="93" t="s">
        <v>63</v>
      </c>
      <c r="G154" s="99">
        <f t="shared" si="1"/>
        <v>2</v>
      </c>
      <c r="H154" s="100" t="s">
        <v>64</v>
      </c>
      <c r="I154" s="95" t="s">
        <v>380</v>
      </c>
      <c r="J154" s="11"/>
      <c r="K154" s="11"/>
      <c r="L154" s="11"/>
      <c r="M154" s="96"/>
      <c r="N154" s="11" t="str">
        <f t="shared" si="6"/>
        <v>Unbranded Treatment Unbranded DLBCL Therapy Therapy Option For 3L+ DLBCL 1</v>
      </c>
      <c r="O154" s="11" t="str">
        <f t="shared" si="7"/>
        <v>Discover A Fixed-Duration Treatment Option For 3L+ DLBCL And View Important Safety Info. Any</v>
      </c>
    </row>
    <row r="155" spans="1:15" ht="15" customHeight="1" x14ac:dyDescent="0.3">
      <c r="A155" s="97" t="s">
        <v>92</v>
      </c>
      <c r="B155" s="98" t="s">
        <v>109</v>
      </c>
      <c r="C155" s="98" t="s">
        <v>50</v>
      </c>
      <c r="D155" s="98">
        <f t="shared" si="0"/>
        <v>1</v>
      </c>
      <c r="E155" s="92" t="s">
        <v>51</v>
      </c>
      <c r="F155" s="93" t="s">
        <v>65</v>
      </c>
      <c r="G155" s="99">
        <f t="shared" si="1"/>
        <v>7</v>
      </c>
      <c r="H155" s="100" t="s">
        <v>64</v>
      </c>
      <c r="I155" s="101" t="s">
        <v>380</v>
      </c>
      <c r="J155" s="11"/>
      <c r="K155" s="11"/>
      <c r="L155" s="11"/>
      <c r="M155" s="96"/>
      <c r="N155" s="11" t="str">
        <f t="shared" si="6"/>
        <v>Unbranded Treatment Unbranded DLBCL Therapy Download The Patient Brochure 2 or 3</v>
      </c>
      <c r="O155" s="11" t="str">
        <f t="shared" si="7"/>
        <v>Download The Patient Brochure To Learn More About A DLBCL Fixed-Duration Treatment. Any</v>
      </c>
    </row>
    <row r="156" spans="1:15" ht="15" customHeight="1" x14ac:dyDescent="0.3">
      <c r="A156" s="97" t="s">
        <v>92</v>
      </c>
      <c r="B156" s="98" t="s">
        <v>109</v>
      </c>
      <c r="C156" s="98" t="s">
        <v>52</v>
      </c>
      <c r="D156" s="98">
        <f t="shared" si="0"/>
        <v>8</v>
      </c>
      <c r="E156" s="92" t="s">
        <v>51</v>
      </c>
      <c r="F156" s="102" t="s">
        <v>66</v>
      </c>
      <c r="G156" s="99">
        <f t="shared" si="1"/>
        <v>5</v>
      </c>
      <c r="H156" s="100" t="s">
        <v>64</v>
      </c>
      <c r="I156" s="95" t="s">
        <v>380</v>
      </c>
      <c r="J156" s="11"/>
      <c r="K156" s="11"/>
      <c r="L156" s="11"/>
      <c r="M156" s="96"/>
      <c r="N156" s="11" t="str">
        <f t="shared" si="6"/>
        <v>Unbranded Treatment Unbranded DLBCL Therapy Resources For Patients 2 or 3</v>
      </c>
      <c r="O156" s="11" t="str">
        <f t="shared" si="7"/>
        <v>Explore An Infusion Option For Diffuse Large B Cell Lymphoma &amp; View Clinical Results. Any</v>
      </c>
    </row>
    <row r="157" spans="1:15" ht="15" customHeight="1" x14ac:dyDescent="0.3">
      <c r="A157" s="97" t="s">
        <v>92</v>
      </c>
      <c r="B157" s="98" t="s">
        <v>109</v>
      </c>
      <c r="C157" s="105" t="s">
        <v>53</v>
      </c>
      <c r="D157" s="98">
        <f t="shared" si="0"/>
        <v>2</v>
      </c>
      <c r="E157" s="92" t="s">
        <v>51</v>
      </c>
      <c r="F157" s="108" t="s">
        <v>74</v>
      </c>
      <c r="G157" s="99">
        <f t="shared" si="1"/>
        <v>6</v>
      </c>
      <c r="H157" s="103" t="s">
        <v>64</v>
      </c>
      <c r="I157" s="95" t="s">
        <v>380</v>
      </c>
      <c r="J157" s="11"/>
      <c r="K157" s="11"/>
      <c r="L157" s="11"/>
      <c r="M157" s="96"/>
      <c r="N157" s="11" t="str">
        <f t="shared" si="6"/>
        <v>Unbranded Treatment Unbranded DLBCL Therapy Financial Assistance Options 2 or 3</v>
      </c>
      <c r="O157" s="11" t="str">
        <f t="shared" si="7"/>
        <v>Learn More About Starting Treatment For 3L+ DLBCL After Two Or More Prior Therapies. Any</v>
      </c>
    </row>
    <row r="158" spans="1:15" ht="15" customHeight="1" x14ac:dyDescent="0.3">
      <c r="A158" s="97" t="s">
        <v>92</v>
      </c>
      <c r="B158" s="98" t="s">
        <v>109</v>
      </c>
      <c r="C158" s="105" t="s">
        <v>54</v>
      </c>
      <c r="D158" s="98">
        <f t="shared" si="0"/>
        <v>2</v>
      </c>
      <c r="E158" s="92" t="s">
        <v>51</v>
      </c>
      <c r="F158" s="106"/>
      <c r="G158" s="99">
        <f t="shared" si="1"/>
        <v>90</v>
      </c>
      <c r="H158" s="106"/>
      <c r="I158" s="106"/>
      <c r="J158" s="11"/>
      <c r="K158" s="11"/>
      <c r="L158" s="11"/>
      <c r="M158" s="96"/>
      <c r="N158" s="11" t="str">
        <f t="shared" si="6"/>
        <v>Unbranded Treatment Unbranded DLBCL Therapy Important Safety Information 2 or 3</v>
      </c>
      <c r="O158" s="11" t="str">
        <f t="shared" si="7"/>
        <v xml:space="preserve"> </v>
      </c>
    </row>
    <row r="159" spans="1:15" ht="15" customHeight="1" x14ac:dyDescent="0.3">
      <c r="A159" s="97" t="s">
        <v>92</v>
      </c>
      <c r="B159" s="98" t="s">
        <v>109</v>
      </c>
      <c r="C159" s="105" t="s">
        <v>55</v>
      </c>
      <c r="D159" s="98">
        <f t="shared" si="0"/>
        <v>2</v>
      </c>
      <c r="E159" s="92" t="s">
        <v>51</v>
      </c>
      <c r="F159" s="106"/>
      <c r="G159" s="99">
        <f t="shared" si="1"/>
        <v>90</v>
      </c>
      <c r="H159" s="106"/>
      <c r="I159" s="106"/>
      <c r="J159" s="11"/>
      <c r="K159" s="11"/>
      <c r="L159" s="11"/>
      <c r="M159" s="96"/>
      <c r="N159" s="11" t="str">
        <f t="shared" si="6"/>
        <v>Unbranded Treatment Unbranded DLBCL Therapy Questions To Ask Your Doctor 2 or 3</v>
      </c>
      <c r="O159" s="11" t="str">
        <f t="shared" si="7"/>
        <v xml:space="preserve"> </v>
      </c>
    </row>
    <row r="160" spans="1:15" ht="15" customHeight="1" x14ac:dyDescent="0.3">
      <c r="A160" s="97" t="s">
        <v>92</v>
      </c>
      <c r="B160" s="98" t="s">
        <v>109</v>
      </c>
      <c r="C160" s="105" t="s">
        <v>56</v>
      </c>
      <c r="D160" s="98">
        <f t="shared" si="0"/>
        <v>8</v>
      </c>
      <c r="E160" s="92" t="s">
        <v>51</v>
      </c>
      <c r="F160" s="106"/>
      <c r="G160" s="99">
        <f t="shared" si="1"/>
        <v>90</v>
      </c>
      <c r="H160" s="106"/>
      <c r="I160" s="106"/>
      <c r="J160" s="11"/>
      <c r="K160" s="11"/>
      <c r="L160" s="11"/>
      <c r="M160" s="96"/>
      <c r="N160" s="11" t="str">
        <f t="shared" si="6"/>
        <v>Unbranded Treatment Unbranded DLBCL Therapy DLBCL Infusion Therapy 2 or 3</v>
      </c>
      <c r="O160" s="11" t="str">
        <f t="shared" si="7"/>
        <v xml:space="preserve"> </v>
      </c>
    </row>
    <row r="161" spans="1:15" ht="15" customHeight="1" x14ac:dyDescent="0.3">
      <c r="A161" s="97" t="s">
        <v>92</v>
      </c>
      <c r="B161" s="98" t="s">
        <v>109</v>
      </c>
      <c r="C161" s="105" t="s">
        <v>57</v>
      </c>
      <c r="D161" s="98">
        <f t="shared" si="0"/>
        <v>8</v>
      </c>
      <c r="E161" s="92" t="s">
        <v>51</v>
      </c>
      <c r="F161" s="106"/>
      <c r="G161" s="99">
        <f t="shared" si="1"/>
        <v>90</v>
      </c>
      <c r="H161" s="106"/>
      <c r="I161" s="106"/>
      <c r="J161" s="11"/>
      <c r="K161" s="11"/>
      <c r="L161" s="11"/>
      <c r="M161" s="96"/>
      <c r="N161" s="11" t="str">
        <f t="shared" si="6"/>
        <v>Unbranded Treatment Unbranded DLBCL Therapy Clinical Trial Results 2 or 3</v>
      </c>
      <c r="O161" s="11" t="str">
        <f t="shared" si="7"/>
        <v xml:space="preserve"> </v>
      </c>
    </row>
    <row r="162" spans="1:15" ht="15.75" customHeight="1" x14ac:dyDescent="0.3">
      <c r="A162" s="97" t="s">
        <v>92</v>
      </c>
      <c r="B162" s="98" t="s">
        <v>109</v>
      </c>
      <c r="C162" s="98" t="s">
        <v>58</v>
      </c>
      <c r="D162" s="98">
        <f t="shared" si="0"/>
        <v>6</v>
      </c>
      <c r="E162" s="92" t="s">
        <v>51</v>
      </c>
      <c r="F162" s="106"/>
      <c r="G162" s="99">
        <f t="shared" si="1"/>
        <v>90</v>
      </c>
      <c r="H162" s="106"/>
      <c r="I162" s="106"/>
      <c r="J162" s="11"/>
      <c r="K162" s="11"/>
      <c r="L162" s="11"/>
      <c r="M162" s="96"/>
      <c r="N162" s="11" t="str">
        <f t="shared" si="6"/>
        <v>Unbranded Treatment Unbranded DLBCL Therapy Information For Patients 2 or 3</v>
      </c>
      <c r="O162" s="11" t="str">
        <f t="shared" si="7"/>
        <v xml:space="preserve"> </v>
      </c>
    </row>
    <row r="163" spans="1:15" ht="15.75" customHeight="1" x14ac:dyDescent="0.3">
      <c r="A163" s="97" t="s">
        <v>92</v>
      </c>
      <c r="B163" s="98" t="s">
        <v>109</v>
      </c>
      <c r="C163" s="98" t="s">
        <v>59</v>
      </c>
      <c r="D163" s="98">
        <f t="shared" si="0"/>
        <v>1</v>
      </c>
      <c r="E163" s="92" t="s">
        <v>51</v>
      </c>
      <c r="F163" s="106"/>
      <c r="G163" s="99">
        <f t="shared" si="1"/>
        <v>90</v>
      </c>
      <c r="H163" s="106"/>
      <c r="I163" s="106"/>
      <c r="J163" s="11"/>
      <c r="K163" s="11"/>
      <c r="L163" s="11"/>
      <c r="M163" s="96"/>
      <c r="N163" s="11" t="str">
        <f t="shared" si="6"/>
        <v>Unbranded Treatment Unbranded DLBCL Therapy Efficacy &amp; Safety Information 2 or 3</v>
      </c>
      <c r="O163" s="11" t="str">
        <f t="shared" si="7"/>
        <v xml:space="preserve"> </v>
      </c>
    </row>
    <row r="164" spans="1:15" ht="15" customHeight="1" x14ac:dyDescent="0.3">
      <c r="A164" s="109" t="s">
        <v>92</v>
      </c>
      <c r="B164" s="98" t="s">
        <v>109</v>
      </c>
      <c r="C164" s="98" t="s">
        <v>105</v>
      </c>
      <c r="D164" s="98">
        <f t="shared" si="0"/>
        <v>4</v>
      </c>
      <c r="E164" s="92" t="s">
        <v>51</v>
      </c>
      <c r="F164" s="106"/>
      <c r="G164" s="99">
        <f t="shared" si="1"/>
        <v>90</v>
      </c>
      <c r="H164" s="106"/>
      <c r="I164" s="106"/>
      <c r="J164" s="11"/>
      <c r="K164" s="11"/>
      <c r="L164" s="11"/>
      <c r="M164" s="96"/>
      <c r="N164" s="11" t="str">
        <f t="shared" si="6"/>
        <v>Unbranded Treatment Unbranded DLBCL Therapy DLBCL Intravenous Infusion 2 or 3</v>
      </c>
      <c r="O164" s="11" t="str">
        <f t="shared" si="7"/>
        <v xml:space="preserve"> </v>
      </c>
    </row>
    <row r="165" spans="1:15" ht="15" customHeight="1" x14ac:dyDescent="0.3">
      <c r="A165" s="109" t="s">
        <v>92</v>
      </c>
      <c r="B165" s="98" t="s">
        <v>109</v>
      </c>
      <c r="C165" s="98" t="s">
        <v>99</v>
      </c>
      <c r="D165" s="98">
        <f t="shared" si="0"/>
        <v>16</v>
      </c>
      <c r="E165" s="92" t="s">
        <v>51</v>
      </c>
      <c r="F165" s="106"/>
      <c r="G165" s="99">
        <f t="shared" si="1"/>
        <v>90</v>
      </c>
      <c r="H165" s="106"/>
      <c r="I165" s="106"/>
      <c r="J165" s="11"/>
      <c r="K165" s="11"/>
      <c r="L165" s="11"/>
      <c r="M165" s="96"/>
      <c r="N165" s="11" t="str">
        <f t="shared" si="6"/>
        <v>Unbranded Treatment Unbranded DLBCL Therapy DLBCL Symptoms 2 or 3</v>
      </c>
      <c r="O165" s="11" t="str">
        <f t="shared" si="7"/>
        <v xml:space="preserve"> </v>
      </c>
    </row>
    <row r="166" spans="1:15" ht="15" customHeight="1" x14ac:dyDescent="0.3">
      <c r="A166" s="109" t="s">
        <v>92</v>
      </c>
      <c r="B166" s="98" t="s">
        <v>109</v>
      </c>
      <c r="C166" s="98" t="s">
        <v>111</v>
      </c>
      <c r="D166" s="98">
        <f t="shared" si="0"/>
        <v>6</v>
      </c>
      <c r="E166" s="92" t="s">
        <v>51</v>
      </c>
      <c r="F166" s="106"/>
      <c r="G166" s="99">
        <f t="shared" si="1"/>
        <v>90</v>
      </c>
      <c r="H166" s="106"/>
      <c r="I166" s="106"/>
      <c r="J166" s="11"/>
      <c r="K166" s="11"/>
      <c r="L166" s="11"/>
      <c r="M166" s="96"/>
      <c r="N166" s="11" t="str">
        <f t="shared" si="6"/>
        <v>Unbranded Treatment Unbranded DLBCL Therapy 3L+ DLBCL Therapy Option 2 or 3</v>
      </c>
      <c r="O166" s="11" t="str">
        <f t="shared" si="7"/>
        <v xml:space="preserve"> </v>
      </c>
    </row>
    <row r="167" spans="1:15" ht="15" customHeight="1" x14ac:dyDescent="0.3">
      <c r="A167" s="109" t="s">
        <v>92</v>
      </c>
      <c r="B167" s="98" t="s">
        <v>109</v>
      </c>
      <c r="C167" s="98" t="s">
        <v>72</v>
      </c>
      <c r="D167" s="98">
        <f t="shared" si="0"/>
        <v>1</v>
      </c>
      <c r="E167" s="92" t="s">
        <v>51</v>
      </c>
      <c r="F167" s="106"/>
      <c r="G167" s="99">
        <f t="shared" si="1"/>
        <v>90</v>
      </c>
      <c r="H167" s="106"/>
      <c r="I167" s="106"/>
      <c r="J167" s="11"/>
      <c r="K167" s="11"/>
      <c r="L167" s="11"/>
      <c r="M167" s="96"/>
      <c r="N167" s="11" t="str">
        <f t="shared" si="6"/>
        <v>Unbranded Treatment Unbranded DLBCL Therapy Diffuse Large B-Cell Lymphoma 2 or 3</v>
      </c>
      <c r="O167" s="11" t="str">
        <f t="shared" si="7"/>
        <v xml:space="preserve"> </v>
      </c>
    </row>
    <row r="168" spans="1:15" ht="15" customHeight="1" x14ac:dyDescent="0.3">
      <c r="A168" s="109" t="s">
        <v>92</v>
      </c>
      <c r="B168" s="98" t="s">
        <v>109</v>
      </c>
      <c r="C168" s="98" t="s">
        <v>381</v>
      </c>
      <c r="D168" s="98">
        <f t="shared" si="0"/>
        <v>4</v>
      </c>
      <c r="E168" s="92" t="s">
        <v>51</v>
      </c>
      <c r="F168" s="106"/>
      <c r="G168" s="99">
        <f t="shared" si="1"/>
        <v>90</v>
      </c>
      <c r="H168" s="106"/>
      <c r="I168" s="106"/>
      <c r="J168" s="11"/>
      <c r="K168" s="11"/>
      <c r="L168" s="11"/>
      <c r="M168" s="96"/>
      <c r="N168" s="11" t="str">
        <f t="shared" si="6"/>
        <v>Unbranded Treatment Unbranded DLBCL Therapy A Fixed-Duration Treatment 2 or 3</v>
      </c>
      <c r="O168" s="11" t="str">
        <f t="shared" si="7"/>
        <v xml:space="preserve"> </v>
      </c>
    </row>
    <row r="169" spans="1:15" ht="15" customHeight="1" x14ac:dyDescent="0.3">
      <c r="A169" s="97" t="s">
        <v>92</v>
      </c>
      <c r="B169" s="98" t="s">
        <v>113</v>
      </c>
      <c r="C169" s="98" t="s">
        <v>110</v>
      </c>
      <c r="D169" s="98">
        <f t="shared" si="0"/>
        <v>2</v>
      </c>
      <c r="E169" s="92">
        <v>1</v>
      </c>
      <c r="F169" s="93" t="s">
        <v>63</v>
      </c>
      <c r="G169" s="107">
        <f t="shared" si="1"/>
        <v>2</v>
      </c>
      <c r="H169" s="93" t="s">
        <v>64</v>
      </c>
      <c r="I169" s="95" t="s">
        <v>380</v>
      </c>
      <c r="J169" s="11"/>
      <c r="K169" s="11"/>
      <c r="L169" s="11"/>
      <c r="M169" s="96"/>
      <c r="N169" s="11" t="str">
        <f t="shared" si="6"/>
        <v>Unbranded Treatment Unbranded DLBCL Dosing Therapy Option For 3L+ DLBCL 1</v>
      </c>
      <c r="O169" s="11" t="str">
        <f t="shared" si="7"/>
        <v>Discover A Fixed-Duration Treatment Option For 3L+ DLBCL And View Important Safety Info. Any</v>
      </c>
    </row>
    <row r="170" spans="1:15" ht="15" customHeight="1" x14ac:dyDescent="0.3">
      <c r="A170" s="97" t="s">
        <v>92</v>
      </c>
      <c r="B170" s="98" t="s">
        <v>113</v>
      </c>
      <c r="C170" s="98" t="s">
        <v>50</v>
      </c>
      <c r="D170" s="98">
        <f t="shared" si="0"/>
        <v>1</v>
      </c>
      <c r="E170" s="92" t="s">
        <v>51</v>
      </c>
      <c r="F170" s="93" t="s">
        <v>65</v>
      </c>
      <c r="G170" s="107">
        <f t="shared" si="1"/>
        <v>7</v>
      </c>
      <c r="H170" s="93" t="s">
        <v>64</v>
      </c>
      <c r="I170" s="95" t="s">
        <v>380</v>
      </c>
      <c r="J170" s="11"/>
      <c r="K170" s="11"/>
      <c r="L170" s="11"/>
      <c r="M170" s="96"/>
      <c r="N170" s="11" t="str">
        <f t="shared" si="6"/>
        <v>Unbranded Treatment Unbranded DLBCL Dosing Download The Patient Brochure 2 or 3</v>
      </c>
      <c r="O170" s="11" t="str">
        <f t="shared" si="7"/>
        <v>Download The Patient Brochure To Learn More About A DLBCL Fixed-Duration Treatment. Any</v>
      </c>
    </row>
    <row r="171" spans="1:15" ht="15" customHeight="1" x14ac:dyDescent="0.3">
      <c r="A171" s="97" t="s">
        <v>92</v>
      </c>
      <c r="B171" s="98" t="s">
        <v>113</v>
      </c>
      <c r="C171" s="98" t="s">
        <v>52</v>
      </c>
      <c r="D171" s="98">
        <f t="shared" si="0"/>
        <v>8</v>
      </c>
      <c r="E171" s="92" t="s">
        <v>51</v>
      </c>
      <c r="F171" s="102" t="s">
        <v>66</v>
      </c>
      <c r="G171" s="107">
        <f t="shared" si="1"/>
        <v>5</v>
      </c>
      <c r="H171" s="93" t="s">
        <v>64</v>
      </c>
      <c r="I171" s="95" t="s">
        <v>380</v>
      </c>
      <c r="J171" s="11"/>
      <c r="K171" s="11"/>
      <c r="L171" s="11"/>
      <c r="M171" s="96"/>
      <c r="N171" s="11" t="str">
        <f t="shared" si="6"/>
        <v>Unbranded Treatment Unbranded DLBCL Dosing Resources For Patients 2 or 3</v>
      </c>
      <c r="O171" s="11" t="str">
        <f t="shared" si="7"/>
        <v>Explore An Infusion Option For Diffuse Large B Cell Lymphoma &amp; View Clinical Results. Any</v>
      </c>
    </row>
    <row r="172" spans="1:15" ht="15" customHeight="1" x14ac:dyDescent="0.3">
      <c r="A172" s="97" t="s">
        <v>92</v>
      </c>
      <c r="B172" s="98" t="s">
        <v>113</v>
      </c>
      <c r="C172" s="105" t="s">
        <v>53</v>
      </c>
      <c r="D172" s="98">
        <f t="shared" si="0"/>
        <v>2</v>
      </c>
      <c r="E172" s="92" t="s">
        <v>51</v>
      </c>
      <c r="F172" s="108" t="s">
        <v>74</v>
      </c>
      <c r="G172" s="107">
        <f t="shared" si="1"/>
        <v>6</v>
      </c>
      <c r="H172" s="93" t="s">
        <v>64</v>
      </c>
      <c r="I172" s="95" t="s">
        <v>380</v>
      </c>
      <c r="J172" s="11"/>
      <c r="K172" s="11"/>
      <c r="L172" s="11"/>
      <c r="M172" s="96"/>
      <c r="N172" s="11" t="str">
        <f t="shared" si="6"/>
        <v>Unbranded Treatment Unbranded DLBCL Dosing Financial Assistance Options 2 or 3</v>
      </c>
      <c r="O172" s="11" t="str">
        <f t="shared" si="7"/>
        <v>Learn More About Starting Treatment For 3L+ DLBCL After Two Or More Prior Therapies. Any</v>
      </c>
    </row>
    <row r="173" spans="1:15" ht="15" customHeight="1" x14ac:dyDescent="0.3">
      <c r="A173" s="97" t="s">
        <v>92</v>
      </c>
      <c r="B173" s="98" t="s">
        <v>113</v>
      </c>
      <c r="C173" s="105" t="s">
        <v>54</v>
      </c>
      <c r="D173" s="98">
        <f t="shared" si="0"/>
        <v>2</v>
      </c>
      <c r="E173" s="110" t="s">
        <v>51</v>
      </c>
      <c r="F173" s="106"/>
      <c r="G173" s="93">
        <f t="shared" si="1"/>
        <v>90</v>
      </c>
      <c r="H173" s="106"/>
      <c r="I173" s="106"/>
      <c r="J173" s="11"/>
      <c r="K173" s="11"/>
      <c r="L173" s="11"/>
      <c r="M173" s="96"/>
      <c r="N173" s="11" t="str">
        <f t="shared" si="6"/>
        <v>Unbranded Treatment Unbranded DLBCL Dosing Important Safety Information 2 or 3</v>
      </c>
      <c r="O173" s="11" t="str">
        <f t="shared" si="7"/>
        <v xml:space="preserve"> </v>
      </c>
    </row>
    <row r="174" spans="1:15" ht="15" customHeight="1" x14ac:dyDescent="0.3">
      <c r="A174" s="97" t="s">
        <v>92</v>
      </c>
      <c r="B174" s="98" t="s">
        <v>113</v>
      </c>
      <c r="C174" s="105" t="s">
        <v>55</v>
      </c>
      <c r="D174" s="98">
        <f t="shared" si="0"/>
        <v>2</v>
      </c>
      <c r="E174" s="110" t="s">
        <v>51</v>
      </c>
      <c r="F174" s="106"/>
      <c r="G174" s="93">
        <f t="shared" si="1"/>
        <v>90</v>
      </c>
      <c r="H174" s="106"/>
      <c r="I174" s="106"/>
      <c r="J174" s="11"/>
      <c r="K174" s="11"/>
      <c r="L174" s="11"/>
      <c r="M174" s="96"/>
      <c r="N174" s="11" t="str">
        <f t="shared" si="6"/>
        <v>Unbranded Treatment Unbranded DLBCL Dosing Questions To Ask Your Doctor 2 or 3</v>
      </c>
      <c r="O174" s="11" t="str">
        <f t="shared" si="7"/>
        <v xml:space="preserve"> </v>
      </c>
    </row>
    <row r="175" spans="1:15" ht="15" customHeight="1" x14ac:dyDescent="0.3">
      <c r="A175" s="97" t="s">
        <v>92</v>
      </c>
      <c r="B175" s="98" t="s">
        <v>113</v>
      </c>
      <c r="C175" s="105" t="s">
        <v>56</v>
      </c>
      <c r="D175" s="98">
        <f t="shared" si="0"/>
        <v>8</v>
      </c>
      <c r="E175" s="110" t="s">
        <v>51</v>
      </c>
      <c r="F175" s="106"/>
      <c r="G175" s="93">
        <f t="shared" si="1"/>
        <v>90</v>
      </c>
      <c r="H175" s="106"/>
      <c r="I175" s="106"/>
      <c r="J175" s="11"/>
      <c r="K175" s="11"/>
      <c r="L175" s="11"/>
      <c r="M175" s="96"/>
      <c r="N175" s="11" t="str">
        <f t="shared" si="6"/>
        <v>Unbranded Treatment Unbranded DLBCL Dosing DLBCL Infusion Therapy 2 or 3</v>
      </c>
      <c r="O175" s="11" t="str">
        <f t="shared" si="7"/>
        <v xml:space="preserve"> </v>
      </c>
    </row>
    <row r="176" spans="1:15" ht="15" customHeight="1" x14ac:dyDescent="0.3">
      <c r="A176" s="97" t="s">
        <v>92</v>
      </c>
      <c r="B176" s="98" t="s">
        <v>113</v>
      </c>
      <c r="C176" s="105" t="s">
        <v>57</v>
      </c>
      <c r="D176" s="98">
        <f t="shared" si="0"/>
        <v>8</v>
      </c>
      <c r="E176" s="110" t="s">
        <v>51</v>
      </c>
      <c r="F176" s="106"/>
      <c r="G176" s="93">
        <f t="shared" si="1"/>
        <v>90</v>
      </c>
      <c r="H176" s="106"/>
      <c r="I176" s="106"/>
      <c r="J176" s="11"/>
      <c r="K176" s="11"/>
      <c r="L176" s="11"/>
      <c r="M176" s="96"/>
      <c r="N176" s="11" t="str">
        <f t="shared" si="6"/>
        <v>Unbranded Treatment Unbranded DLBCL Dosing Clinical Trial Results 2 or 3</v>
      </c>
      <c r="O176" s="11" t="str">
        <f t="shared" si="7"/>
        <v xml:space="preserve"> </v>
      </c>
    </row>
    <row r="177" spans="1:15" ht="15.75" customHeight="1" x14ac:dyDescent="0.3">
      <c r="A177" s="97" t="s">
        <v>92</v>
      </c>
      <c r="B177" s="98" t="s">
        <v>113</v>
      </c>
      <c r="C177" s="98" t="s">
        <v>58</v>
      </c>
      <c r="D177" s="98">
        <f t="shared" si="0"/>
        <v>6</v>
      </c>
      <c r="E177" s="110" t="s">
        <v>51</v>
      </c>
      <c r="F177" s="106"/>
      <c r="G177" s="93">
        <f t="shared" si="1"/>
        <v>90</v>
      </c>
      <c r="H177" s="106"/>
      <c r="I177" s="106"/>
      <c r="J177" s="11"/>
      <c r="K177" s="11"/>
      <c r="L177" s="11"/>
      <c r="M177" s="96"/>
      <c r="N177" s="11" t="str">
        <f t="shared" si="6"/>
        <v>Unbranded Treatment Unbranded DLBCL Dosing Information For Patients 2 or 3</v>
      </c>
      <c r="O177" s="11" t="str">
        <f t="shared" si="7"/>
        <v xml:space="preserve"> </v>
      </c>
    </row>
    <row r="178" spans="1:15" ht="15.75" customHeight="1" x14ac:dyDescent="0.3">
      <c r="A178" s="97" t="s">
        <v>92</v>
      </c>
      <c r="B178" s="98" t="s">
        <v>113</v>
      </c>
      <c r="C178" s="98" t="s">
        <v>59</v>
      </c>
      <c r="D178" s="98">
        <f t="shared" si="0"/>
        <v>1</v>
      </c>
      <c r="E178" s="110" t="s">
        <v>51</v>
      </c>
      <c r="F178" s="106"/>
      <c r="G178" s="93">
        <f t="shared" si="1"/>
        <v>90</v>
      </c>
      <c r="H178" s="106"/>
      <c r="I178" s="106"/>
      <c r="J178" s="11"/>
      <c r="K178" s="11"/>
      <c r="L178" s="11"/>
      <c r="M178" s="96"/>
      <c r="N178" s="11" t="str">
        <f t="shared" si="6"/>
        <v>Unbranded Treatment Unbranded DLBCL Dosing Efficacy &amp; Safety Information 2 or 3</v>
      </c>
      <c r="O178" s="11" t="str">
        <f t="shared" si="7"/>
        <v xml:space="preserve"> </v>
      </c>
    </row>
    <row r="179" spans="1:15" ht="15" customHeight="1" x14ac:dyDescent="0.3">
      <c r="A179" s="109" t="s">
        <v>92</v>
      </c>
      <c r="B179" s="98" t="s">
        <v>113</v>
      </c>
      <c r="C179" s="98" t="s">
        <v>105</v>
      </c>
      <c r="D179" s="98">
        <f t="shared" si="0"/>
        <v>4</v>
      </c>
      <c r="E179" s="110" t="s">
        <v>51</v>
      </c>
      <c r="F179" s="106"/>
      <c r="G179" s="93">
        <f t="shared" si="1"/>
        <v>90</v>
      </c>
      <c r="H179" s="106"/>
      <c r="I179" s="106"/>
      <c r="J179" s="11"/>
      <c r="K179" s="11"/>
      <c r="L179" s="11"/>
      <c r="M179" s="96"/>
      <c r="N179" s="11" t="str">
        <f t="shared" si="6"/>
        <v>Unbranded Treatment Unbranded DLBCL Dosing DLBCL Intravenous Infusion 2 or 3</v>
      </c>
      <c r="O179" s="11" t="str">
        <f t="shared" si="7"/>
        <v xml:space="preserve"> </v>
      </c>
    </row>
    <row r="180" spans="1:15" ht="15" customHeight="1" x14ac:dyDescent="0.3">
      <c r="A180" s="109" t="s">
        <v>92</v>
      </c>
      <c r="B180" s="98" t="s">
        <v>113</v>
      </c>
      <c r="C180" s="98" t="s">
        <v>99</v>
      </c>
      <c r="D180" s="98">
        <f t="shared" si="0"/>
        <v>16</v>
      </c>
      <c r="E180" s="110" t="s">
        <v>51</v>
      </c>
      <c r="F180" s="106"/>
      <c r="G180" s="93">
        <f t="shared" si="1"/>
        <v>90</v>
      </c>
      <c r="H180" s="106"/>
      <c r="I180" s="106"/>
      <c r="J180" s="11"/>
      <c r="K180" s="11"/>
      <c r="L180" s="11"/>
      <c r="M180" s="96"/>
      <c r="N180" s="11" t="str">
        <f t="shared" si="6"/>
        <v>Unbranded Treatment Unbranded DLBCL Dosing DLBCL Symptoms 2 or 3</v>
      </c>
      <c r="O180" s="11" t="str">
        <f t="shared" si="7"/>
        <v xml:space="preserve"> </v>
      </c>
    </row>
    <row r="181" spans="1:15" ht="15" customHeight="1" x14ac:dyDescent="0.3">
      <c r="A181" s="109" t="s">
        <v>92</v>
      </c>
      <c r="B181" s="98" t="s">
        <v>113</v>
      </c>
      <c r="C181" s="98" t="s">
        <v>111</v>
      </c>
      <c r="D181" s="98">
        <f t="shared" si="0"/>
        <v>6</v>
      </c>
      <c r="E181" s="110" t="s">
        <v>51</v>
      </c>
      <c r="F181" s="106"/>
      <c r="G181" s="93">
        <f t="shared" si="1"/>
        <v>90</v>
      </c>
      <c r="H181" s="106"/>
      <c r="I181" s="106"/>
      <c r="J181" s="11"/>
      <c r="K181" s="11"/>
      <c r="L181" s="11"/>
      <c r="M181" s="96"/>
      <c r="N181" s="11" t="str">
        <f t="shared" si="6"/>
        <v>Unbranded Treatment Unbranded DLBCL Dosing 3L+ DLBCL Therapy Option 2 or 3</v>
      </c>
      <c r="O181" s="11" t="str">
        <f t="shared" si="7"/>
        <v xml:space="preserve"> </v>
      </c>
    </row>
    <row r="182" spans="1:15" ht="15" customHeight="1" x14ac:dyDescent="0.3">
      <c r="A182" s="109" t="s">
        <v>92</v>
      </c>
      <c r="B182" s="98" t="s">
        <v>113</v>
      </c>
      <c r="C182" s="98" t="s">
        <v>72</v>
      </c>
      <c r="D182" s="98">
        <f t="shared" si="0"/>
        <v>1</v>
      </c>
      <c r="E182" s="110" t="s">
        <v>51</v>
      </c>
      <c r="F182" s="106"/>
      <c r="G182" s="93">
        <f t="shared" si="1"/>
        <v>90</v>
      </c>
      <c r="H182" s="106"/>
      <c r="I182" s="106"/>
      <c r="J182" s="11"/>
      <c r="K182" s="11"/>
      <c r="L182" s="11"/>
      <c r="M182" s="96"/>
      <c r="N182" s="11" t="str">
        <f t="shared" si="6"/>
        <v>Unbranded Treatment Unbranded DLBCL Dosing Diffuse Large B-Cell Lymphoma 2 or 3</v>
      </c>
      <c r="O182" s="11" t="str">
        <f t="shared" si="7"/>
        <v xml:space="preserve"> </v>
      </c>
    </row>
    <row r="183" spans="1:15" ht="15" customHeight="1" thickBot="1" x14ac:dyDescent="0.35">
      <c r="A183" s="111" t="s">
        <v>92</v>
      </c>
      <c r="B183" s="112" t="s">
        <v>113</v>
      </c>
      <c r="C183" s="112" t="s">
        <v>381</v>
      </c>
      <c r="D183" s="112">
        <f t="shared" si="0"/>
        <v>4</v>
      </c>
      <c r="E183" s="113" t="s">
        <v>51</v>
      </c>
      <c r="F183" s="114"/>
      <c r="G183" s="115">
        <f t="shared" si="1"/>
        <v>90</v>
      </c>
      <c r="H183" s="114"/>
      <c r="I183" s="114"/>
      <c r="J183" s="116"/>
      <c r="K183" s="116"/>
      <c r="L183" s="116"/>
      <c r="M183" s="117"/>
      <c r="N183" s="11" t="str">
        <f t="shared" si="6"/>
        <v>Unbranded Treatment Unbranded DLBCL Dosing A Fixed-Duration Treatment 2 or 3</v>
      </c>
      <c r="O183" s="11" t="str">
        <f t="shared" si="7"/>
        <v xml:space="preserve"> </v>
      </c>
    </row>
  </sheetData>
  <mergeCells count="2">
    <mergeCell ref="A16:M16"/>
    <mergeCell ref="A18:B18"/>
  </mergeCells>
  <conditionalFormatting sqref="C19:C33">
    <cfRule type="duplicateValues" dxfId="37" priority="22"/>
    <cfRule type="colorScale" priority="23">
      <colorScale>
        <cfvo type="min"/>
        <cfvo type="max"/>
        <color rgb="FF57BB8A"/>
        <color rgb="FFFFFFFF"/>
      </colorScale>
    </cfRule>
  </conditionalFormatting>
  <conditionalFormatting sqref="C34:C48">
    <cfRule type="duplicateValues" dxfId="36" priority="21"/>
  </conditionalFormatting>
  <conditionalFormatting sqref="C49:C63">
    <cfRule type="duplicateValues" dxfId="35" priority="20"/>
  </conditionalFormatting>
  <conditionalFormatting sqref="C64:C78">
    <cfRule type="duplicateValues" dxfId="34" priority="19"/>
  </conditionalFormatting>
  <conditionalFormatting sqref="C79:C93">
    <cfRule type="duplicateValues" dxfId="33" priority="18"/>
  </conditionalFormatting>
  <conditionalFormatting sqref="C94:C108">
    <cfRule type="duplicateValues" dxfId="32" priority="17"/>
  </conditionalFormatting>
  <conditionalFormatting sqref="C109:C123">
    <cfRule type="duplicateValues" dxfId="31" priority="16"/>
  </conditionalFormatting>
  <conditionalFormatting sqref="C124:C138">
    <cfRule type="duplicateValues" dxfId="30" priority="15"/>
  </conditionalFormatting>
  <conditionalFormatting sqref="C139:C153">
    <cfRule type="duplicateValues" dxfId="29" priority="14"/>
  </conditionalFormatting>
  <conditionalFormatting sqref="C154:C168">
    <cfRule type="duplicateValues" dxfId="28" priority="13"/>
  </conditionalFormatting>
  <conditionalFormatting sqref="C169:C183">
    <cfRule type="duplicateValues" dxfId="27" priority="12"/>
  </conditionalFormatting>
  <conditionalFormatting sqref="F19:F22">
    <cfRule type="duplicateValues" dxfId="26" priority="11"/>
  </conditionalFormatting>
  <conditionalFormatting sqref="F34:F37">
    <cfRule type="duplicateValues" dxfId="25" priority="10"/>
  </conditionalFormatting>
  <conditionalFormatting sqref="F49:F52">
    <cfRule type="duplicateValues" dxfId="24" priority="9"/>
  </conditionalFormatting>
  <conditionalFormatting sqref="F64:F67">
    <cfRule type="duplicateValues" dxfId="23" priority="8"/>
  </conditionalFormatting>
  <conditionalFormatting sqref="F79:F82">
    <cfRule type="duplicateValues" dxfId="22" priority="7"/>
  </conditionalFormatting>
  <conditionalFormatting sqref="F94:F97">
    <cfRule type="duplicateValues" dxfId="21" priority="6"/>
  </conditionalFormatting>
  <conditionalFormatting sqref="F109:F112">
    <cfRule type="duplicateValues" dxfId="20" priority="5"/>
  </conditionalFormatting>
  <conditionalFormatting sqref="F124:F127">
    <cfRule type="duplicateValues" dxfId="19" priority="4"/>
  </conditionalFormatting>
  <conditionalFormatting sqref="F139:F142">
    <cfRule type="duplicateValues" dxfId="18" priority="3"/>
  </conditionalFormatting>
  <conditionalFormatting sqref="F154:F157">
    <cfRule type="duplicateValues" dxfId="17" priority="2"/>
  </conditionalFormatting>
  <conditionalFormatting sqref="F169:F172">
    <cfRule type="duplicateValues" dxfId="16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M263"/>
  <sheetViews>
    <sheetView tabSelected="1" topLeftCell="I1" workbookViewId="0">
      <selection activeCell="K16" sqref="K16"/>
    </sheetView>
  </sheetViews>
  <sheetFormatPr defaultColWidth="12.6640625" defaultRowHeight="15" customHeight="1" x14ac:dyDescent="0.3"/>
  <cols>
    <col min="1" max="1" width="109.88671875" customWidth="1"/>
    <col min="2" max="4" width="40.21875" customWidth="1"/>
    <col min="5" max="6" width="54.6640625" customWidth="1"/>
    <col min="7" max="7" width="14.33203125" customWidth="1"/>
    <col min="8" max="8" width="82.33203125" customWidth="1"/>
    <col min="9" max="9" width="56" customWidth="1"/>
    <col min="10" max="10" width="54.6640625" customWidth="1"/>
    <col min="11" max="11" width="82.33203125" customWidth="1"/>
    <col min="12" max="12" width="12" bestFit="1" customWidth="1"/>
    <col min="13" max="13" width="16" customWidth="1"/>
    <col min="14" max="33" width="8.6640625" customWidth="1"/>
  </cols>
  <sheetData>
    <row r="1" spans="1:13" ht="14.4" x14ac:dyDescent="0.3">
      <c r="A1" s="3" t="s">
        <v>7</v>
      </c>
      <c r="B1" s="6" t="s">
        <v>8</v>
      </c>
      <c r="C1" s="228" t="s">
        <v>510</v>
      </c>
      <c r="D1" s="228" t="s">
        <v>511</v>
      </c>
      <c r="E1" s="6" t="s">
        <v>127</v>
      </c>
      <c r="F1" s="228" t="s">
        <v>512</v>
      </c>
      <c r="G1" s="6" t="s">
        <v>128</v>
      </c>
      <c r="H1" s="6" t="s">
        <v>129</v>
      </c>
      <c r="I1" s="228" t="s">
        <v>513</v>
      </c>
      <c r="J1" s="228" t="s">
        <v>514</v>
      </c>
      <c r="K1" s="228" t="s">
        <v>515</v>
      </c>
      <c r="L1" s="228" t="s">
        <v>516</v>
      </c>
      <c r="M1" s="6" t="s">
        <v>1</v>
      </c>
    </row>
    <row r="2" spans="1:13" ht="14.4" x14ac:dyDescent="0.3">
      <c r="A2" s="2" t="s">
        <v>47</v>
      </c>
      <c r="B2" s="2" t="s">
        <v>48</v>
      </c>
      <c r="C2" s="2" t="s">
        <v>46</v>
      </c>
      <c r="D2" s="2" t="str">
        <f>IFERROR(VLOOKUP(C2,'ATP - Keywords'!$B:$B,1,FALSE),"#N/A")</f>
        <v>Unbranded Condition</v>
      </c>
      <c r="E2" s="2" t="s">
        <v>130</v>
      </c>
      <c r="F2" s="2" t="str">
        <f>IFERROR(VLOOKUP(E2,'ATP - Keywords'!$C:$C,1,FALSE),"#N/A")</f>
        <v>about large b cell lymphoma</v>
      </c>
      <c r="G2" s="2" t="s">
        <v>131</v>
      </c>
      <c r="H2" s="231" t="s">
        <v>518</v>
      </c>
      <c r="I2" s="231" t="s">
        <v>517</v>
      </c>
      <c r="J2" s="2" t="str">
        <f>IFERROR(VLOOKUP(I2,'ATP - Keywords'!$E:$E,1,FALSE),"#N/A")</f>
        <v>#N/A</v>
      </c>
      <c r="K2" s="2" t="str">
        <f t="shared" ref="K2:K65" si="0">CONCATENATE(J2,"?c=",M2)</f>
        <v>#N/A?c=gft-18903220006</v>
      </c>
      <c r="L2" s="2" t="b">
        <v>1</v>
      </c>
      <c r="M2" s="2" t="s">
        <v>3</v>
      </c>
    </row>
    <row r="3" spans="1:13" ht="14.4" x14ac:dyDescent="0.3">
      <c r="A3" s="2" t="s">
        <v>47</v>
      </c>
      <c r="B3" s="2" t="s">
        <v>48</v>
      </c>
      <c r="C3" s="2" t="s">
        <v>46</v>
      </c>
      <c r="D3" s="2" t="str">
        <f>IFERROR(VLOOKUP(C3,'ATP - Keywords'!$B:$B,1,FALSE),"#N/A")</f>
        <v>Unbranded Condition</v>
      </c>
      <c r="E3" s="227" t="s">
        <v>509</v>
      </c>
      <c r="F3" s="229" t="str">
        <f>IFERROR(VLOOKUP(E3,'ATP - Keywords'!$C:$C,1,FALSE),"#N/A")</f>
        <v>#N/A</v>
      </c>
      <c r="G3" s="2" t="s">
        <v>131</v>
      </c>
      <c r="H3" s="2" t="s">
        <v>132</v>
      </c>
      <c r="I3" s="2" t="s">
        <v>69</v>
      </c>
      <c r="J3" s="2" t="str">
        <f>IFERROR(VLOOKUP(I3,'ATP - Keywords'!$E:$E,1,FALSE),"#N/A")</f>
        <v>https://www.columvi.com/about/what-is-DLBCL.html</v>
      </c>
      <c r="K3" s="2" t="str">
        <f t="shared" si="0"/>
        <v>https://www.columvi.com/about/what-is-DLBCL.html?c=gft-18903220006</v>
      </c>
      <c r="L3" s="2" t="b">
        <v>1</v>
      </c>
      <c r="M3" s="2" t="s">
        <v>3</v>
      </c>
    </row>
    <row r="4" spans="1:13" ht="14.4" x14ac:dyDescent="0.3">
      <c r="A4" s="2" t="s">
        <v>47</v>
      </c>
      <c r="B4" s="2" t="s">
        <v>48</v>
      </c>
      <c r="C4" s="2" t="s">
        <v>46</v>
      </c>
      <c r="D4" s="2" t="str">
        <f>IFERROR(VLOOKUP(C4,'ATP - Keywords'!$B:$B,1,FALSE),"#N/A")</f>
        <v>Unbranded Condition</v>
      </c>
      <c r="E4" s="227" t="s">
        <v>134</v>
      </c>
      <c r="F4" s="2" t="str">
        <f>IFERROR(VLOOKUP(E4,'ATP - Keywords'!$C:$C,1,FALSE),"#N/A")</f>
        <v>large b cell</v>
      </c>
      <c r="G4" s="2" t="s">
        <v>131</v>
      </c>
      <c r="H4" s="2" t="s">
        <v>132</v>
      </c>
      <c r="I4" s="2" t="s">
        <v>69</v>
      </c>
      <c r="J4" s="2" t="str">
        <f>IFERROR(VLOOKUP(I4,'ATP - Keywords'!$E:$E,1,FALSE),"#N/A")</f>
        <v>https://www.columvi.com/about/what-is-DLBCL.html</v>
      </c>
      <c r="K4" s="2" t="str">
        <f t="shared" si="0"/>
        <v>https://www.columvi.com/about/what-is-DLBCL.html?c=gft-18903220006</v>
      </c>
      <c r="L4" s="2" t="b">
        <v>1</v>
      </c>
      <c r="M4" s="2" t="s">
        <v>3</v>
      </c>
    </row>
    <row r="5" spans="1:13" ht="14.4" x14ac:dyDescent="0.3">
      <c r="A5" s="2" t="s">
        <v>47</v>
      </c>
      <c r="B5" s="2" t="s">
        <v>48</v>
      </c>
      <c r="C5" s="2" t="s">
        <v>46</v>
      </c>
      <c r="D5" s="2" t="str">
        <f>IFERROR(VLOOKUP(C5,'ATP - Keywords'!$B:$B,1,FALSE),"#N/A")</f>
        <v>Unbranded Condition</v>
      </c>
      <c r="E5" s="2" t="s">
        <v>135</v>
      </c>
      <c r="F5" s="2" t="str">
        <f>IFERROR(VLOOKUP(E5,'ATP - Keywords'!$C:$C,1,FALSE),"#N/A")</f>
        <v>large b lymphoma</v>
      </c>
      <c r="G5" s="2" t="s">
        <v>131</v>
      </c>
      <c r="H5" s="2" t="s">
        <v>132</v>
      </c>
      <c r="I5" s="2" t="s">
        <v>69</v>
      </c>
      <c r="J5" s="2" t="str">
        <f>IFERROR(VLOOKUP(I5,'ATP - Keywords'!$E:$E,1,FALSE),"#N/A")</f>
        <v>https://www.columvi.com/about/what-is-DLBCL.html</v>
      </c>
      <c r="K5" s="2" t="str">
        <f t="shared" si="0"/>
        <v>https://www.columvi.com/about/what-is-DLBCL.html?c=gft-18903220006</v>
      </c>
      <c r="L5" s="2" t="b">
        <v>1</v>
      </c>
      <c r="M5" s="2" t="s">
        <v>3</v>
      </c>
    </row>
    <row r="6" spans="1:13" ht="14.4" x14ac:dyDescent="0.3">
      <c r="A6" s="2" t="s">
        <v>47</v>
      </c>
      <c r="B6" s="2" t="s">
        <v>48</v>
      </c>
      <c r="C6" s="2" t="s">
        <v>46</v>
      </c>
      <c r="D6" s="2" t="str">
        <f>IFERROR(VLOOKUP(C6,'ATP - Keywords'!$B:$B,1,FALSE),"#N/A")</f>
        <v>Unbranded Condition</v>
      </c>
      <c r="E6" s="2" t="s">
        <v>136</v>
      </c>
      <c r="F6" s="2" t="str">
        <f>IFERROR(VLOOKUP(E6,'ATP - Keywords'!$C:$C,1,FALSE),"#N/A")</f>
        <v>large cell b lymphoma</v>
      </c>
      <c r="G6" s="2" t="s">
        <v>131</v>
      </c>
      <c r="H6" s="2" t="s">
        <v>132</v>
      </c>
      <c r="I6" s="2" t="s">
        <v>69</v>
      </c>
      <c r="J6" s="2" t="str">
        <f>IFERROR(VLOOKUP(I6,'ATP - Keywords'!$E:$E,1,FALSE),"#N/A")</f>
        <v>https://www.columvi.com/about/what-is-DLBCL.html</v>
      </c>
      <c r="K6" s="2" t="str">
        <f t="shared" si="0"/>
        <v>https://www.columvi.com/about/what-is-DLBCL.html?c=gft-18903220006</v>
      </c>
      <c r="L6" s="2" t="b">
        <v>1</v>
      </c>
      <c r="M6" s="2" t="s">
        <v>3</v>
      </c>
    </row>
    <row r="7" spans="1:13" ht="14.4" x14ac:dyDescent="0.3">
      <c r="A7" s="2" t="s">
        <v>47</v>
      </c>
      <c r="B7" s="2" t="s">
        <v>48</v>
      </c>
      <c r="C7" s="2" t="s">
        <v>46</v>
      </c>
      <c r="D7" s="2" t="str">
        <f>IFERROR(VLOOKUP(C7,'ATP - Keywords'!$B:$B,1,FALSE),"#N/A")</f>
        <v>Unbranded Condition</v>
      </c>
      <c r="E7" s="2" t="s">
        <v>137</v>
      </c>
      <c r="F7" s="2" t="str">
        <f>IFERROR(VLOOKUP(E7,'ATP - Keywords'!$C:$C,1,FALSE),"#N/A")</f>
        <v>dlbcl</v>
      </c>
      <c r="G7" s="2" t="s">
        <v>131</v>
      </c>
      <c r="H7" s="2" t="s">
        <v>132</v>
      </c>
      <c r="I7" s="2" t="s">
        <v>69</v>
      </c>
      <c r="J7" s="2" t="str">
        <f>IFERROR(VLOOKUP(I7,'ATP - Keywords'!$E:$E,1,FALSE),"#N/A")</f>
        <v>https://www.columvi.com/about/what-is-DLBCL.html</v>
      </c>
      <c r="K7" s="2" t="str">
        <f t="shared" si="0"/>
        <v>https://www.columvi.com/about/what-is-DLBCL.html?c=gft-18903220006</v>
      </c>
      <c r="L7" s="2" t="b">
        <v>1</v>
      </c>
      <c r="M7" s="2" t="s">
        <v>3</v>
      </c>
    </row>
    <row r="8" spans="1:13" ht="14.4" x14ac:dyDescent="0.3">
      <c r="A8" s="2" t="s">
        <v>47</v>
      </c>
      <c r="B8" s="2" t="s">
        <v>48</v>
      </c>
      <c r="C8" s="2" t="s">
        <v>46</v>
      </c>
      <c r="D8" s="2" t="str">
        <f>IFERROR(VLOOKUP(C8,'ATP - Keywords'!$B:$B,1,FALSE),"#N/A")</f>
        <v>Unbranded Condition</v>
      </c>
      <c r="E8" s="2" t="s">
        <v>138</v>
      </c>
      <c r="F8" s="2" t="str">
        <f>IFERROR(VLOOKUP(E8,'ATP - Keywords'!$C:$C,1,FALSE),"#N/A")</f>
        <v>dlbcl cancer</v>
      </c>
      <c r="G8" s="2" t="s">
        <v>131</v>
      </c>
      <c r="H8" s="2" t="s">
        <v>132</v>
      </c>
      <c r="I8" s="2" t="s">
        <v>69</v>
      </c>
      <c r="J8" s="2" t="str">
        <f>IFERROR(VLOOKUP(I8,'ATP - Keywords'!$E:$E,1,FALSE),"#N/A")</f>
        <v>https://www.columvi.com/about/what-is-DLBCL.html</v>
      </c>
      <c r="K8" s="2" t="str">
        <f t="shared" si="0"/>
        <v>https://www.columvi.com/about/what-is-DLBCL.html?c=gft-18903220006</v>
      </c>
      <c r="L8" s="2" t="b">
        <v>1</v>
      </c>
      <c r="M8" s="2" t="s">
        <v>3</v>
      </c>
    </row>
    <row r="9" spans="1:13" ht="14.4" x14ac:dyDescent="0.3">
      <c r="A9" s="2" t="s">
        <v>47</v>
      </c>
      <c r="B9" s="2" t="s">
        <v>48</v>
      </c>
      <c r="C9" s="2" t="s">
        <v>46</v>
      </c>
      <c r="D9" s="2" t="str">
        <f>IFERROR(VLOOKUP(C9,'ATP - Keywords'!$B:$B,1,FALSE),"#N/A")</f>
        <v>Unbranded Condition</v>
      </c>
      <c r="E9" s="2" t="s">
        <v>139</v>
      </c>
      <c r="F9" s="2" t="str">
        <f>IFERROR(VLOOKUP(E9,'ATP - Keywords'!$C:$C,1,FALSE),"#N/A")</f>
        <v>dlbcl lymphoma</v>
      </c>
      <c r="G9" s="2" t="s">
        <v>131</v>
      </c>
      <c r="H9" s="2" t="s">
        <v>132</v>
      </c>
      <c r="I9" s="2" t="s">
        <v>69</v>
      </c>
      <c r="J9" s="2" t="str">
        <f>IFERROR(VLOOKUP(I9,'ATP - Keywords'!$E:$E,1,FALSE),"#N/A")</f>
        <v>https://www.columvi.com/about/what-is-DLBCL.html</v>
      </c>
      <c r="K9" s="2" t="str">
        <f t="shared" si="0"/>
        <v>https://www.columvi.com/about/what-is-DLBCL.html?c=gft-18903220006</v>
      </c>
      <c r="L9" s="2" t="b">
        <v>1</v>
      </c>
      <c r="M9" s="2" t="s">
        <v>3</v>
      </c>
    </row>
    <row r="10" spans="1:13" ht="14.4" x14ac:dyDescent="0.3">
      <c r="A10" s="2" t="s">
        <v>47</v>
      </c>
      <c r="B10" s="2" t="s">
        <v>48</v>
      </c>
      <c r="C10" s="2" t="s">
        <v>46</v>
      </c>
      <c r="D10" s="2" t="str">
        <f>IFERROR(VLOOKUP(C10,'ATP - Keywords'!$B:$B,1,FALSE),"#N/A")</f>
        <v>Unbranded Condition</v>
      </c>
      <c r="E10" s="2" t="s">
        <v>140</v>
      </c>
      <c r="F10" s="2" t="str">
        <f>IFERROR(VLOOKUP(E10,'ATP - Keywords'!$C:$C,1,FALSE),"#N/A")</f>
        <v>lymphoma b</v>
      </c>
      <c r="G10" s="2" t="s">
        <v>131</v>
      </c>
      <c r="H10" s="246" t="s">
        <v>530</v>
      </c>
      <c r="I10" s="2" t="s">
        <v>69</v>
      </c>
      <c r="J10" s="2" t="str">
        <f>IFERROR(VLOOKUP(I10,'ATP - Keywords'!$E:$E,1,FALSE),"#N/A")</f>
        <v>https://www.columvi.com/about/what-is-DLBCL.html</v>
      </c>
      <c r="K10" s="2" t="str">
        <f t="shared" si="0"/>
        <v>https://www.columvi.com/about/what-is-DLBCL.html?c=gft-18903220006</v>
      </c>
      <c r="L10" s="2" t="b">
        <v>1</v>
      </c>
      <c r="M10" s="2" t="s">
        <v>3</v>
      </c>
    </row>
    <row r="11" spans="1:13" ht="14.4" x14ac:dyDescent="0.3">
      <c r="A11" s="2" t="s">
        <v>47</v>
      </c>
      <c r="B11" s="2" t="s">
        <v>48</v>
      </c>
      <c r="C11" s="2" t="s">
        <v>46</v>
      </c>
      <c r="D11" s="2" t="str">
        <f>IFERROR(VLOOKUP(C11,'ATP - Keywords'!$B:$B,1,FALSE),"#N/A")</f>
        <v>Unbranded Condition</v>
      </c>
      <c r="E11" s="2" t="s">
        <v>141</v>
      </c>
      <c r="F11" s="2" t="str">
        <f>IFERROR(VLOOKUP(E11,'ATP - Keywords'!$C:$C,1,FALSE),"#N/A")</f>
        <v>type b lymphoma</v>
      </c>
      <c r="G11" s="2" t="s">
        <v>131</v>
      </c>
      <c r="H11" s="2" t="s">
        <v>132</v>
      </c>
      <c r="I11" s="2" t="s">
        <v>69</v>
      </c>
      <c r="J11" s="2" t="str">
        <f>IFERROR(VLOOKUP(I11,'ATP - Keywords'!$E:$E,1,FALSE),"#N/A")</f>
        <v>https://www.columvi.com/about/what-is-DLBCL.html</v>
      </c>
      <c r="K11" s="2" t="str">
        <f t="shared" si="0"/>
        <v>https://www.columvi.com/about/what-is-DLBCL.html?c=gft-18903220006</v>
      </c>
      <c r="L11" s="2" t="b">
        <v>1</v>
      </c>
      <c r="M11" s="2" t="s">
        <v>3</v>
      </c>
    </row>
    <row r="12" spans="1:13" ht="14.4" x14ac:dyDescent="0.3">
      <c r="A12" s="2" t="s">
        <v>47</v>
      </c>
      <c r="B12" s="2" t="s">
        <v>48</v>
      </c>
      <c r="C12" s="2" t="s">
        <v>46</v>
      </c>
      <c r="D12" s="2" t="str">
        <f>IFERROR(VLOOKUP(C12,'ATP - Keywords'!$B:$B,1,FALSE),"#N/A")</f>
        <v>Unbranded Condition</v>
      </c>
      <c r="E12" s="2" t="s">
        <v>142</v>
      </c>
      <c r="F12" s="2" t="str">
        <f>IFERROR(VLOOKUP(E12,'ATP - Keywords'!$C:$C,1,FALSE),"#N/A")</f>
        <v>what is large b cell lymphoma</v>
      </c>
      <c r="G12" s="2" t="s">
        <v>131</v>
      </c>
      <c r="H12" s="2" t="s">
        <v>132</v>
      </c>
      <c r="I12" s="2" t="s">
        <v>69</v>
      </c>
      <c r="J12" s="2" t="str">
        <f>IFERROR(VLOOKUP(I12,'ATP - Keywords'!$E:$E,1,FALSE),"#N/A")</f>
        <v>https://www.columvi.com/about/what-is-DLBCL.html</v>
      </c>
      <c r="K12" s="2" t="str">
        <f t="shared" si="0"/>
        <v>https://www.columvi.com/about/what-is-DLBCL.html?c=gft-18903220006</v>
      </c>
      <c r="L12" s="2" t="b">
        <v>1</v>
      </c>
      <c r="M12" s="2" t="s">
        <v>3</v>
      </c>
    </row>
    <row r="13" spans="1:13" ht="14.4" x14ac:dyDescent="0.3">
      <c r="A13" s="2" t="s">
        <v>47</v>
      </c>
      <c r="B13" s="2" t="s">
        <v>48</v>
      </c>
      <c r="C13" s="2" t="s">
        <v>46</v>
      </c>
      <c r="D13" s="2" t="str">
        <f>IFERROR(VLOOKUP(C13,'ATP - Keywords'!$B:$B,1,FALSE),"#N/A")</f>
        <v>Unbranded Condition</v>
      </c>
      <c r="E13" s="2" t="s">
        <v>143</v>
      </c>
      <c r="F13" s="2" t="str">
        <f>IFERROR(VLOOKUP(E13,'ATP - Keywords'!$C:$C,1,FALSE),"#N/A")</f>
        <v>what is dlbcl</v>
      </c>
      <c r="G13" s="2" t="s">
        <v>131</v>
      </c>
      <c r="H13" s="2" t="s">
        <v>132</v>
      </c>
      <c r="I13" s="246" t="s">
        <v>530</v>
      </c>
      <c r="J13" s="2" t="str">
        <f>IFERROR(VLOOKUP(I13,'ATP - Keywords'!$E:$E,1,FALSE),"#N/A")</f>
        <v>#N/A</v>
      </c>
      <c r="K13" s="2" t="str">
        <f t="shared" si="0"/>
        <v>#N/A?c=gft-18903220006</v>
      </c>
      <c r="L13" s="2" t="b">
        <v>1</v>
      </c>
      <c r="M13" s="2" t="s">
        <v>3</v>
      </c>
    </row>
    <row r="14" spans="1:13" ht="14.4" x14ac:dyDescent="0.3">
      <c r="A14" s="2" t="s">
        <v>47</v>
      </c>
      <c r="B14" s="2" t="s">
        <v>48</v>
      </c>
      <c r="C14" s="2" t="s">
        <v>46</v>
      </c>
      <c r="D14" s="2" t="str">
        <f>IFERROR(VLOOKUP(C14,'ATP - Keywords'!$B:$B,1,FALSE),"#N/A")</f>
        <v>Unbranded Condition</v>
      </c>
      <c r="E14" s="2" t="s">
        <v>144</v>
      </c>
      <c r="F14" s="2" t="str">
        <f>IFERROR(VLOOKUP(E14,'ATP - Keywords'!$C:$C,1,FALSE),"#N/A")</f>
        <v>b cell large diffuse</v>
      </c>
      <c r="G14" s="2" t="s">
        <v>131</v>
      </c>
      <c r="H14" s="2" t="s">
        <v>132</v>
      </c>
      <c r="I14" s="2" t="s">
        <v>69</v>
      </c>
      <c r="J14" s="2" t="str">
        <f>IFERROR(VLOOKUP(I14,'ATP - Keywords'!$E:$E,1,FALSE),"#N/A")</f>
        <v>https://www.columvi.com/about/what-is-DLBCL.html</v>
      </c>
      <c r="K14" s="2" t="str">
        <f t="shared" si="0"/>
        <v>https://www.columvi.com/about/what-is-DLBCL.html?c=gft-18903220006</v>
      </c>
      <c r="L14" s="2" t="b">
        <v>1</v>
      </c>
      <c r="M14" s="2" t="s">
        <v>3</v>
      </c>
    </row>
    <row r="15" spans="1:13" ht="14.4" x14ac:dyDescent="0.3">
      <c r="A15" s="2" t="s">
        <v>47</v>
      </c>
      <c r="B15" s="2" t="s">
        <v>48</v>
      </c>
      <c r="C15" s="2" t="s">
        <v>46</v>
      </c>
      <c r="D15" s="2" t="str">
        <f>IFERROR(VLOOKUP(C15,'ATP - Keywords'!$B:$B,1,FALSE),"#N/A")</f>
        <v>Unbranded Condition</v>
      </c>
      <c r="E15" s="2" t="s">
        <v>145</v>
      </c>
      <c r="F15" s="2" t="str">
        <f>IFERROR(VLOOKUP(E15,'ATP - Keywords'!$C:$C,1,FALSE),"#N/A")</f>
        <v>lymphoma and large b cell</v>
      </c>
      <c r="G15" s="2" t="s">
        <v>131</v>
      </c>
      <c r="H15" s="2" t="s">
        <v>132</v>
      </c>
      <c r="I15" s="2" t="s">
        <v>69</v>
      </c>
      <c r="J15" s="2" t="str">
        <f>IFERROR(VLOOKUP(I15,'ATP - Keywords'!$E:$E,1,FALSE),"#N/A")</f>
        <v>https://www.columvi.com/about/what-is-DLBCL.html</v>
      </c>
      <c r="K15" s="2" t="str">
        <f t="shared" si="0"/>
        <v>https://www.columvi.com/about/what-is-DLBCL.html?c=gft-18903220006</v>
      </c>
      <c r="L15" s="2" t="b">
        <v>1</v>
      </c>
      <c r="M15" s="2" t="s">
        <v>3</v>
      </c>
    </row>
    <row r="16" spans="1:13" ht="14.4" x14ac:dyDescent="0.3">
      <c r="A16" s="2" t="s">
        <v>47</v>
      </c>
      <c r="B16" s="2" t="s">
        <v>48</v>
      </c>
      <c r="C16" s="2" t="s">
        <v>46</v>
      </c>
      <c r="D16" s="2" t="str">
        <f>IFERROR(VLOOKUP(C16,'ATP - Keywords'!$B:$B,1,FALSE),"#N/A")</f>
        <v>Unbranded Condition</v>
      </c>
      <c r="E16" s="2" t="s">
        <v>146</v>
      </c>
      <c r="F16" s="2" t="str">
        <f>IFERROR(VLOOKUP(E16,'ATP - Keywords'!$C:$C,1,FALSE),"#N/A")</f>
        <v>diffuse large b cell lymphoma</v>
      </c>
      <c r="G16" s="2" t="s">
        <v>131</v>
      </c>
      <c r="H16" s="2" t="s">
        <v>132</v>
      </c>
      <c r="I16" s="2" t="s">
        <v>69</v>
      </c>
      <c r="J16" s="2" t="str">
        <f>IFERROR(VLOOKUP(I16,'ATP - Keywords'!$E:$E,1,FALSE),"#N/A")</f>
        <v>https://www.columvi.com/about/what-is-DLBCL.html</v>
      </c>
      <c r="K16" s="2" t="str">
        <f t="shared" si="0"/>
        <v>https://www.columvi.com/about/what-is-DLBCL.html?c=gft-18903220006</v>
      </c>
      <c r="L16" s="2" t="b">
        <v>1</v>
      </c>
      <c r="M16" s="2" t="s">
        <v>3</v>
      </c>
    </row>
    <row r="17" spans="1:13" ht="14.4" x14ac:dyDescent="0.3">
      <c r="A17" s="2" t="s">
        <v>47</v>
      </c>
      <c r="B17" s="2" t="s">
        <v>48</v>
      </c>
      <c r="C17" s="2" t="s">
        <v>46</v>
      </c>
      <c r="D17" s="2" t="str">
        <f>IFERROR(VLOOKUP(C17,'ATP - Keywords'!$B:$B,1,FALSE),"#N/A")</f>
        <v>Unbranded Condition</v>
      </c>
      <c r="E17" s="2" t="s">
        <v>147</v>
      </c>
      <c r="F17" s="2" t="str">
        <f>IFERROR(VLOOKUP(E17,'ATP - Keywords'!$C:$C,1,FALSE),"#N/A")</f>
        <v>dlbcl fda approval</v>
      </c>
      <c r="G17" s="2" t="s">
        <v>131</v>
      </c>
      <c r="H17" s="2" t="s">
        <v>132</v>
      </c>
      <c r="I17" s="2" t="s">
        <v>69</v>
      </c>
      <c r="J17" s="2" t="str">
        <f>IFERROR(VLOOKUP(I17,'ATP - Keywords'!$E:$E,1,FALSE),"#N/A")</f>
        <v>https://www.columvi.com/about/what-is-DLBCL.html</v>
      </c>
      <c r="K17" s="2" t="str">
        <f t="shared" si="0"/>
        <v>https://www.columvi.com/about/what-is-DLBCL.html?c=gft-18903220006</v>
      </c>
      <c r="L17" s="2" t="b">
        <v>1</v>
      </c>
      <c r="M17" s="2" t="s">
        <v>3</v>
      </c>
    </row>
    <row r="18" spans="1:13" ht="14.4" x14ac:dyDescent="0.3">
      <c r="A18" s="2" t="s">
        <v>47</v>
      </c>
      <c r="B18" s="2" t="s">
        <v>48</v>
      </c>
      <c r="C18" s="2" t="s">
        <v>46</v>
      </c>
      <c r="D18" s="2" t="str">
        <f>IFERROR(VLOOKUP(C18,'ATP - Keywords'!$B:$B,1,FALSE),"#N/A")</f>
        <v>Unbranded Condition</v>
      </c>
      <c r="E18" s="2" t="s">
        <v>148</v>
      </c>
      <c r="F18" s="2" t="str">
        <f>IFERROR(VLOOKUP(E18,'ATP - Keywords'!$C:$C,1,FALSE),"#N/A")</f>
        <v>dlbcl treatment fda approval</v>
      </c>
      <c r="G18" s="2" t="s">
        <v>131</v>
      </c>
      <c r="H18" s="2" t="s">
        <v>132</v>
      </c>
      <c r="I18" s="2" t="s">
        <v>69</v>
      </c>
      <c r="J18" s="2" t="str">
        <f>IFERROR(VLOOKUP(I18,'ATP - Keywords'!$E:$E,1,FALSE),"#N/A")</f>
        <v>https://www.columvi.com/about/what-is-DLBCL.html</v>
      </c>
      <c r="K18" s="2" t="str">
        <f t="shared" si="0"/>
        <v>https://www.columvi.com/about/what-is-DLBCL.html?c=gft-18903220006</v>
      </c>
      <c r="L18" s="2" t="b">
        <v>1</v>
      </c>
      <c r="M18" s="2" t="s">
        <v>3</v>
      </c>
    </row>
    <row r="19" spans="1:13" ht="14.4" x14ac:dyDescent="0.3">
      <c r="A19" s="2" t="s">
        <v>47</v>
      </c>
      <c r="B19" s="2" t="s">
        <v>48</v>
      </c>
      <c r="C19" s="2" t="s">
        <v>46</v>
      </c>
      <c r="D19" s="2" t="str">
        <f>IFERROR(VLOOKUP(C19,'ATP - Keywords'!$B:$B,1,FALSE),"#N/A")</f>
        <v>Unbranded Condition</v>
      </c>
      <c r="E19" s="2" t="s">
        <v>149</v>
      </c>
      <c r="F19" s="2" t="str">
        <f>IFERROR(VLOOKUP(E19,'ATP - Keywords'!$C:$C,1,FALSE),"#N/A")</f>
        <v>r/r dlbcl</v>
      </c>
      <c r="G19" s="2" t="s">
        <v>131</v>
      </c>
      <c r="H19" s="2" t="s">
        <v>132</v>
      </c>
      <c r="I19" s="2" t="s">
        <v>69</v>
      </c>
      <c r="J19" s="2" t="str">
        <f>IFERROR(VLOOKUP(I19,'ATP - Keywords'!$E:$E,1,FALSE),"#N/A")</f>
        <v>https://www.columvi.com/about/what-is-DLBCL.html</v>
      </c>
      <c r="K19" s="2" t="str">
        <f t="shared" si="0"/>
        <v>https://www.columvi.com/about/what-is-DLBCL.html?c=gft-18903220006</v>
      </c>
      <c r="L19" s="2" t="b">
        <v>1</v>
      </c>
      <c r="M19" s="2" t="s">
        <v>3</v>
      </c>
    </row>
    <row r="20" spans="1:13" ht="14.4" x14ac:dyDescent="0.3">
      <c r="A20" s="2" t="s">
        <v>47</v>
      </c>
      <c r="B20" s="2" t="s">
        <v>48</v>
      </c>
      <c r="C20" s="2" t="s">
        <v>46</v>
      </c>
      <c r="D20" s="2" t="str">
        <f>IFERROR(VLOOKUP(C20,'ATP - Keywords'!$B:$B,1,FALSE),"#N/A")</f>
        <v>Unbranded Condition</v>
      </c>
      <c r="E20" s="2" t="s">
        <v>150</v>
      </c>
      <c r="F20" s="2" t="str">
        <f>IFERROR(VLOOKUP(E20,'ATP - Keywords'!$C:$C,1,FALSE),"#N/A")</f>
        <v>relapsed or refractory dlbcl</v>
      </c>
      <c r="G20" s="2" t="s">
        <v>131</v>
      </c>
      <c r="H20" s="2" t="s">
        <v>132</v>
      </c>
      <c r="I20" s="2" t="s">
        <v>69</v>
      </c>
      <c r="J20" s="2" t="str">
        <f>IFERROR(VLOOKUP(I20,'ATP - Keywords'!$E:$E,1,FALSE),"#N/A")</f>
        <v>https://www.columvi.com/about/what-is-DLBCL.html</v>
      </c>
      <c r="K20" s="2" t="str">
        <f t="shared" si="0"/>
        <v>https://www.columvi.com/about/what-is-DLBCL.html?c=gft-18903220006</v>
      </c>
      <c r="L20" s="2" t="b">
        <v>1</v>
      </c>
      <c r="M20" s="2" t="s">
        <v>3</v>
      </c>
    </row>
    <row r="21" spans="1:13" ht="15.75" customHeight="1" x14ac:dyDescent="0.3">
      <c r="A21" s="2" t="s">
        <v>47</v>
      </c>
      <c r="B21" s="2" t="s">
        <v>48</v>
      </c>
      <c r="C21" s="2" t="s">
        <v>46</v>
      </c>
      <c r="D21" s="2" t="str">
        <f>IFERROR(VLOOKUP(C21,'ATP - Keywords'!$B:$B,1,FALSE),"#N/A")</f>
        <v>Unbranded Condition</v>
      </c>
      <c r="E21" s="2" t="s">
        <v>151</v>
      </c>
      <c r="F21" s="2" t="str">
        <f>IFERROR(VLOOKUP(E21,'ATP - Keywords'!$C:$C,1,FALSE),"#N/A")</f>
        <v>relapsed or refractory diffuse large b cell lymphoma</v>
      </c>
      <c r="G21" s="2" t="s">
        <v>131</v>
      </c>
      <c r="H21" s="2" t="s">
        <v>132</v>
      </c>
      <c r="I21" s="2" t="s">
        <v>69</v>
      </c>
      <c r="J21" s="2" t="str">
        <f>IFERROR(VLOOKUP(I21,'ATP - Keywords'!$E:$E,1,FALSE),"#N/A")</f>
        <v>https://www.columvi.com/about/what-is-DLBCL.html</v>
      </c>
      <c r="K21" s="2" t="str">
        <f t="shared" si="0"/>
        <v>https://www.columvi.com/about/what-is-DLBCL.html?c=gft-18903220006</v>
      </c>
      <c r="L21" s="2" t="b">
        <v>1</v>
      </c>
      <c r="M21" s="2" t="s">
        <v>3</v>
      </c>
    </row>
    <row r="22" spans="1:13" ht="15.75" customHeight="1" x14ac:dyDescent="0.3">
      <c r="A22" s="2" t="s">
        <v>47</v>
      </c>
      <c r="B22" s="2" t="s">
        <v>48</v>
      </c>
      <c r="C22" s="2" t="s">
        <v>46</v>
      </c>
      <c r="D22" s="2" t="str">
        <f>IFERROR(VLOOKUP(C22,'ATP - Keywords'!$B:$B,1,FALSE),"#N/A")</f>
        <v>Unbranded Condition</v>
      </c>
      <c r="E22" s="2" t="s">
        <v>152</v>
      </c>
      <c r="F22" s="2" t="str">
        <f>IFERROR(VLOOKUP(E22,'ATP - Keywords'!$C:$C,1,FALSE),"#N/A")</f>
        <v>lbcl</v>
      </c>
      <c r="G22" s="2" t="s">
        <v>131</v>
      </c>
      <c r="H22" s="2" t="s">
        <v>132</v>
      </c>
      <c r="I22" s="2" t="s">
        <v>69</v>
      </c>
      <c r="J22" s="2" t="str">
        <f>IFERROR(VLOOKUP(I22,'ATP - Keywords'!$E:$E,1,FALSE),"#N/A")</f>
        <v>https://www.columvi.com/about/what-is-DLBCL.html</v>
      </c>
      <c r="K22" s="2" t="str">
        <f t="shared" si="0"/>
        <v>https://www.columvi.com/about/what-is-DLBCL.html?c=gft-18903220006</v>
      </c>
      <c r="L22" s="2" t="b">
        <v>1</v>
      </c>
      <c r="M22" s="2" t="s">
        <v>3</v>
      </c>
    </row>
    <row r="23" spans="1:13" ht="15.75" customHeight="1" x14ac:dyDescent="0.3">
      <c r="A23" s="2" t="s">
        <v>47</v>
      </c>
      <c r="B23" s="2" t="s">
        <v>48</v>
      </c>
      <c r="C23" s="2" t="s">
        <v>46</v>
      </c>
      <c r="D23" s="2" t="str">
        <f>IFERROR(VLOOKUP(C23,'ATP - Keywords'!$B:$B,1,FALSE),"#N/A")</f>
        <v>Unbranded Condition</v>
      </c>
      <c r="E23" s="2" t="s">
        <v>153</v>
      </c>
      <c r="F23" s="2" t="str">
        <f>IFERROR(VLOOKUP(E23,'ATP - Keywords'!$C:$C,1,FALSE),"#N/A")</f>
        <v>what is the difference between relapsed and refractory dlbcl</v>
      </c>
      <c r="G23" s="2" t="s">
        <v>131</v>
      </c>
      <c r="H23" s="2" t="s">
        <v>132</v>
      </c>
      <c r="I23" s="2" t="s">
        <v>69</v>
      </c>
      <c r="J23" s="2" t="str">
        <f>IFERROR(VLOOKUP(I23,'ATP - Keywords'!$E:$E,1,FALSE),"#N/A")</f>
        <v>https://www.columvi.com/about/what-is-DLBCL.html</v>
      </c>
      <c r="K23" s="2" t="str">
        <f t="shared" si="0"/>
        <v>https://www.columvi.com/about/what-is-DLBCL.html?c=gft-18903220006</v>
      </c>
      <c r="L23" s="2" t="b">
        <v>1</v>
      </c>
      <c r="M23" s="2" t="s">
        <v>3</v>
      </c>
    </row>
    <row r="24" spans="1:13" ht="15.75" customHeight="1" x14ac:dyDescent="0.3">
      <c r="A24" s="2" t="s">
        <v>47</v>
      </c>
      <c r="B24" s="2" t="s">
        <v>48</v>
      </c>
      <c r="C24" s="2" t="s">
        <v>46</v>
      </c>
      <c r="D24" s="2" t="str">
        <f>IFERROR(VLOOKUP(C24,'ATP - Keywords'!$B:$B,1,FALSE),"#N/A")</f>
        <v>Unbranded Condition</v>
      </c>
      <c r="E24" s="2" t="s">
        <v>154</v>
      </c>
      <c r="F24" s="2" t="str">
        <f>IFERROR(VLOOKUP(E24,'ATP - Keywords'!$C:$C,1,FALSE),"#N/A")</f>
        <v>what is relapsed or refractory dlbcl</v>
      </c>
      <c r="G24" s="2" t="s">
        <v>131</v>
      </c>
      <c r="H24" s="2" t="s">
        <v>132</v>
      </c>
      <c r="I24" s="2" t="s">
        <v>69</v>
      </c>
      <c r="J24" s="2" t="str">
        <f>IFERROR(VLOOKUP(I24,'ATP - Keywords'!$E:$E,1,FALSE),"#N/A")</f>
        <v>https://www.columvi.com/about/what-is-DLBCL.html</v>
      </c>
      <c r="K24" s="2" t="str">
        <f t="shared" si="0"/>
        <v>https://www.columvi.com/about/what-is-DLBCL.html?c=gft-18903220006</v>
      </c>
      <c r="L24" s="2" t="b">
        <v>1</v>
      </c>
      <c r="M24" s="2" t="s">
        <v>3</v>
      </c>
    </row>
    <row r="25" spans="1:13" ht="15.75" customHeight="1" x14ac:dyDescent="0.3">
      <c r="A25" s="2" t="s">
        <v>47</v>
      </c>
      <c r="B25" s="2" t="s">
        <v>48</v>
      </c>
      <c r="C25" s="2" t="s">
        <v>46</v>
      </c>
      <c r="D25" s="2" t="str">
        <f>IFERROR(VLOOKUP(C25,'ATP - Keywords'!$B:$B,1,FALSE),"#N/A")</f>
        <v>Unbranded Condition</v>
      </c>
      <c r="E25" s="2" t="s">
        <v>155</v>
      </c>
      <c r="F25" s="2" t="str">
        <f>IFERROR(VLOOKUP(E25,'ATP - Keywords'!$C:$C,1,FALSE),"#N/A")</f>
        <v>relapsed refractory large b cell lymphoma</v>
      </c>
      <c r="G25" s="2" t="s">
        <v>131</v>
      </c>
      <c r="H25" s="2" t="s">
        <v>132</v>
      </c>
      <c r="I25" s="2" t="s">
        <v>69</v>
      </c>
      <c r="J25" s="2" t="str">
        <f>IFERROR(VLOOKUP(I25,'ATP - Keywords'!$E:$E,1,FALSE),"#N/A")</f>
        <v>https://www.columvi.com/about/what-is-DLBCL.html</v>
      </c>
      <c r="K25" s="2" t="str">
        <f t="shared" si="0"/>
        <v>https://www.columvi.com/about/what-is-DLBCL.html?c=gft-18903220006</v>
      </c>
      <c r="L25" s="2" t="b">
        <v>1</v>
      </c>
      <c r="M25" s="2" t="s">
        <v>3</v>
      </c>
    </row>
    <row r="26" spans="1:13" ht="15.75" customHeight="1" x14ac:dyDescent="0.3">
      <c r="A26" s="2" t="s">
        <v>47</v>
      </c>
      <c r="B26" s="2" t="s">
        <v>48</v>
      </c>
      <c r="C26" s="2" t="s">
        <v>46</v>
      </c>
      <c r="D26" s="2" t="str">
        <f>IFERROR(VLOOKUP(C26,'ATP - Keywords'!$B:$B,1,FALSE),"#N/A")</f>
        <v>Unbranded Condition</v>
      </c>
      <c r="E26" s="2" t="s">
        <v>156</v>
      </c>
      <c r="F26" s="2" t="str">
        <f>IFERROR(VLOOKUP(E26,'ATP - Keywords'!$C:$C,1,FALSE),"#N/A")</f>
        <v>types of relapsed refractory large b cell lymphoma</v>
      </c>
      <c r="G26" s="2" t="s">
        <v>131</v>
      </c>
      <c r="H26" s="2" t="s">
        <v>132</v>
      </c>
      <c r="I26" s="2" t="s">
        <v>69</v>
      </c>
      <c r="J26" s="2" t="str">
        <f>IFERROR(VLOOKUP(I26,'ATP - Keywords'!$E:$E,1,FALSE),"#N/A")</f>
        <v>https://www.columvi.com/about/what-is-DLBCL.html</v>
      </c>
      <c r="K26" s="2" t="str">
        <f t="shared" si="0"/>
        <v>https://www.columvi.com/about/what-is-DLBCL.html?c=gft-18903220006</v>
      </c>
      <c r="L26" s="2" t="b">
        <v>1</v>
      </c>
      <c r="M26" s="2" t="s">
        <v>3</v>
      </c>
    </row>
    <row r="27" spans="1:13" ht="15.75" customHeight="1" x14ac:dyDescent="0.3">
      <c r="A27" s="2" t="s">
        <v>47</v>
      </c>
      <c r="B27" s="2" t="s">
        <v>48</v>
      </c>
      <c r="C27" s="2" t="s">
        <v>46</v>
      </c>
      <c r="D27" s="2" t="str">
        <f>IFERROR(VLOOKUP(C27,'ATP - Keywords'!$B:$B,1,FALSE),"#N/A")</f>
        <v>Unbranded Condition</v>
      </c>
      <c r="E27" s="2" t="s">
        <v>157</v>
      </c>
      <c r="F27" s="2" t="str">
        <f>IFERROR(VLOOKUP(E27,'ATP - Keywords'!$C:$C,1,FALSE),"#N/A")</f>
        <v>about relapsed refractory large b cell lymphoma</v>
      </c>
      <c r="G27" s="2" t="s">
        <v>131</v>
      </c>
      <c r="H27" s="2" t="s">
        <v>132</v>
      </c>
      <c r="I27" s="2" t="s">
        <v>69</v>
      </c>
      <c r="J27" s="2" t="str">
        <f>IFERROR(VLOOKUP(I27,'ATP - Keywords'!$E:$E,1,FALSE),"#N/A")</f>
        <v>https://www.columvi.com/about/what-is-DLBCL.html</v>
      </c>
      <c r="K27" s="2" t="str">
        <f t="shared" si="0"/>
        <v>https://www.columvi.com/about/what-is-DLBCL.html?c=gft-18903220006</v>
      </c>
      <c r="L27" s="2" t="b">
        <v>1</v>
      </c>
      <c r="M27" s="2" t="s">
        <v>3</v>
      </c>
    </row>
    <row r="28" spans="1:13" ht="15.75" customHeight="1" x14ac:dyDescent="0.3">
      <c r="A28" s="2" t="s">
        <v>47</v>
      </c>
      <c r="B28" s="2" t="s">
        <v>48</v>
      </c>
      <c r="C28" s="2" t="s">
        <v>46</v>
      </c>
      <c r="D28" s="2" t="str">
        <f>IFERROR(VLOOKUP(C28,'ATP - Keywords'!$B:$B,1,FALSE),"#N/A")</f>
        <v>Unbranded Condition</v>
      </c>
      <c r="E28" s="2" t="s">
        <v>158</v>
      </c>
      <c r="F28" s="2" t="str">
        <f>IFERROR(VLOOKUP(E28,'ATP - Keywords'!$C:$C,1,FALSE),"#N/A")</f>
        <v>lbcl arising from follicular lymphoma</v>
      </c>
      <c r="G28" s="2" t="s">
        <v>131</v>
      </c>
      <c r="H28" s="2" t="s">
        <v>132</v>
      </c>
      <c r="I28" s="2" t="s">
        <v>69</v>
      </c>
      <c r="J28" s="2" t="str">
        <f>IFERROR(VLOOKUP(I28,'ATP - Keywords'!$E:$E,1,FALSE),"#N/A")</f>
        <v>https://www.columvi.com/about/what-is-DLBCL.html</v>
      </c>
      <c r="K28" s="2" t="str">
        <f t="shared" si="0"/>
        <v>https://www.columvi.com/about/what-is-DLBCL.html?c=gft-18903220006</v>
      </c>
      <c r="L28" s="2" t="b">
        <v>1</v>
      </c>
      <c r="M28" s="2" t="s">
        <v>3</v>
      </c>
    </row>
    <row r="29" spans="1:13" ht="15.75" customHeight="1" x14ac:dyDescent="0.3">
      <c r="A29" s="2" t="s">
        <v>47</v>
      </c>
      <c r="B29" s="2" t="s">
        <v>48</v>
      </c>
      <c r="C29" s="2" t="s">
        <v>46</v>
      </c>
      <c r="D29" s="2" t="str">
        <f>IFERROR(VLOOKUP(C29,'ATP - Keywords'!$B:$B,1,FALSE),"#N/A")</f>
        <v>Unbranded Condition</v>
      </c>
      <c r="E29" s="2" t="s">
        <v>159</v>
      </c>
      <c r="F29" s="2" t="str">
        <f>IFERROR(VLOOKUP(E29,'ATP - Keywords'!$C:$C,1,FALSE),"#N/A")</f>
        <v>non hodgkins relapsed refractory large b cell lymphoma</v>
      </c>
      <c r="G29" s="2" t="s">
        <v>131</v>
      </c>
      <c r="H29" s="2" t="s">
        <v>132</v>
      </c>
      <c r="I29" s="2" t="s">
        <v>69</v>
      </c>
      <c r="J29" s="2" t="str">
        <f>IFERROR(VLOOKUP(I29,'ATP - Keywords'!$E:$E,1,FALSE),"#N/A")</f>
        <v>https://www.columvi.com/about/what-is-DLBCL.html</v>
      </c>
      <c r="K29" s="2" t="str">
        <f t="shared" si="0"/>
        <v>https://www.columvi.com/about/what-is-DLBCL.html?c=gft-18903220006</v>
      </c>
      <c r="L29" s="2" t="b">
        <v>1</v>
      </c>
      <c r="M29" s="2" t="s">
        <v>3</v>
      </c>
    </row>
    <row r="30" spans="1:13" ht="15.75" customHeight="1" x14ac:dyDescent="0.3">
      <c r="A30" s="2" t="s">
        <v>47</v>
      </c>
      <c r="B30" s="2" t="s">
        <v>48</v>
      </c>
      <c r="C30" s="2" t="s">
        <v>46</v>
      </c>
      <c r="D30" s="2" t="str">
        <f>IFERROR(VLOOKUP(C30,'ATP - Keywords'!$B:$B,1,FALSE),"#N/A")</f>
        <v>Unbranded Condition</v>
      </c>
      <c r="E30" s="2" t="s">
        <v>160</v>
      </c>
      <c r="F30" s="2" t="str">
        <f>IFERROR(VLOOKUP(E30,'ATP - Keywords'!$C:$C,1,FALSE),"#N/A")</f>
        <v>nhl relapsed refractory large b cell lymphoma</v>
      </c>
      <c r="G30" s="2" t="s">
        <v>131</v>
      </c>
      <c r="H30" s="2" t="s">
        <v>132</v>
      </c>
      <c r="I30" s="2" t="s">
        <v>69</v>
      </c>
      <c r="J30" s="2" t="str">
        <f>IFERROR(VLOOKUP(I30,'ATP - Keywords'!$E:$E,1,FALSE),"#N/A")</f>
        <v>https://www.columvi.com/about/what-is-DLBCL.html</v>
      </c>
      <c r="K30" s="2" t="str">
        <f t="shared" si="0"/>
        <v>https://www.columvi.com/about/what-is-DLBCL.html?c=gft-18903220006</v>
      </c>
      <c r="L30" s="2" t="b">
        <v>1</v>
      </c>
      <c r="M30" s="2" t="s">
        <v>3</v>
      </c>
    </row>
    <row r="31" spans="1:13" ht="15.75" customHeight="1" x14ac:dyDescent="0.3">
      <c r="A31" s="2" t="s">
        <v>47</v>
      </c>
      <c r="B31" s="2" t="s">
        <v>48</v>
      </c>
      <c r="C31" s="2" t="s">
        <v>46</v>
      </c>
      <c r="D31" s="2" t="str">
        <f>IFERROR(VLOOKUP(C31,'ATP - Keywords'!$B:$B,1,FALSE),"#N/A")</f>
        <v>Unbranded Condition</v>
      </c>
      <c r="E31" s="2" t="s">
        <v>161</v>
      </c>
      <c r="F31" s="2" t="str">
        <f>IFERROR(VLOOKUP(E31,'ATP - Keywords'!$C:$C,1,FALSE),"#N/A")</f>
        <v>non hodgkins large b cell lymphoma</v>
      </c>
      <c r="G31" s="2" t="s">
        <v>131</v>
      </c>
      <c r="H31" s="2" t="s">
        <v>132</v>
      </c>
      <c r="I31" s="2" t="s">
        <v>69</v>
      </c>
      <c r="J31" s="2" t="str">
        <f>IFERROR(VLOOKUP(I31,'ATP - Keywords'!$E:$E,1,FALSE),"#N/A")</f>
        <v>https://www.columvi.com/about/what-is-DLBCL.html</v>
      </c>
      <c r="K31" s="2" t="str">
        <f t="shared" si="0"/>
        <v>https://www.columvi.com/about/what-is-DLBCL.html?c=gft-18903220006</v>
      </c>
      <c r="L31" s="2" t="b">
        <v>1</v>
      </c>
      <c r="M31" s="2" t="s">
        <v>3</v>
      </c>
    </row>
    <row r="32" spans="1:13" ht="15.75" customHeight="1" x14ac:dyDescent="0.3">
      <c r="A32" s="2" t="s">
        <v>47</v>
      </c>
      <c r="B32" s="2" t="s">
        <v>48</v>
      </c>
      <c r="C32" s="2" t="s">
        <v>46</v>
      </c>
      <c r="D32" s="2" t="str">
        <f>IFERROR(VLOOKUP(C32,'ATP - Keywords'!$B:$B,1,FALSE),"#N/A")</f>
        <v>Unbranded Condition</v>
      </c>
      <c r="E32" s="2" t="s">
        <v>162</v>
      </c>
      <c r="F32" s="2" t="str">
        <f>IFERROR(VLOOKUP(E32,'ATP - Keywords'!$C:$C,1,FALSE),"#N/A")</f>
        <v>nhl cancer</v>
      </c>
      <c r="G32" s="2" t="s">
        <v>131</v>
      </c>
      <c r="H32" s="2" t="s">
        <v>132</v>
      </c>
      <c r="I32" s="2" t="s">
        <v>69</v>
      </c>
      <c r="J32" s="2" t="str">
        <f>IFERROR(VLOOKUP(I32,'ATP - Keywords'!$E:$E,1,FALSE),"#N/A")</f>
        <v>https://www.columvi.com/about/what-is-DLBCL.html</v>
      </c>
      <c r="K32" s="2" t="str">
        <f t="shared" si="0"/>
        <v>https://www.columvi.com/about/what-is-DLBCL.html?c=gft-18903220006</v>
      </c>
      <c r="L32" s="2" t="b">
        <v>1</v>
      </c>
      <c r="M32" s="2" t="s">
        <v>3</v>
      </c>
    </row>
    <row r="33" spans="1:13" ht="15.75" customHeight="1" x14ac:dyDescent="0.3">
      <c r="A33" s="2" t="s">
        <v>47</v>
      </c>
      <c r="B33" s="2" t="s">
        <v>48</v>
      </c>
      <c r="C33" s="2" t="s">
        <v>46</v>
      </c>
      <c r="D33" s="2" t="str">
        <f>IFERROR(VLOOKUP(C33,'ATP - Keywords'!$B:$B,1,FALSE),"#N/A")</f>
        <v>Unbranded Condition</v>
      </c>
      <c r="E33" s="2" t="s">
        <v>163</v>
      </c>
      <c r="F33" s="2" t="str">
        <f>IFERROR(VLOOKUP(E33,'ATP - Keywords'!$C:$C,1,FALSE),"#N/A")</f>
        <v>large b cell non hodgkin's lymphoma</v>
      </c>
      <c r="G33" s="2" t="s">
        <v>131</v>
      </c>
      <c r="H33" s="2" t="s">
        <v>132</v>
      </c>
      <c r="I33" s="2" t="s">
        <v>69</v>
      </c>
      <c r="J33" s="2" t="str">
        <f>IFERROR(VLOOKUP(I33,'ATP - Keywords'!$E:$E,1,FALSE),"#N/A")</f>
        <v>https://www.columvi.com/about/what-is-DLBCL.html</v>
      </c>
      <c r="K33" s="2" t="str">
        <f t="shared" si="0"/>
        <v>https://www.columvi.com/about/what-is-DLBCL.html?c=gft-18903220006</v>
      </c>
      <c r="L33" s="2" t="b">
        <v>1</v>
      </c>
      <c r="M33" s="2" t="s">
        <v>3</v>
      </c>
    </row>
    <row r="34" spans="1:13" ht="15.75" customHeight="1" x14ac:dyDescent="0.3">
      <c r="A34" s="2" t="s">
        <v>47</v>
      </c>
      <c r="B34" s="2" t="s">
        <v>48</v>
      </c>
      <c r="C34" s="2" t="s">
        <v>46</v>
      </c>
      <c r="D34" s="2" t="str">
        <f>IFERROR(VLOOKUP(C34,'ATP - Keywords'!$B:$B,1,FALSE),"#N/A")</f>
        <v>Unbranded Condition</v>
      </c>
      <c r="E34" s="2" t="s">
        <v>164</v>
      </c>
      <c r="F34" s="2" t="str">
        <f>IFERROR(VLOOKUP(E34,'ATP - Keywords'!$C:$C,1,FALSE),"#N/A")</f>
        <v>dlbcl non hodgkin's lymphoma</v>
      </c>
      <c r="G34" s="2" t="s">
        <v>131</v>
      </c>
      <c r="H34" s="2" t="s">
        <v>132</v>
      </c>
      <c r="I34" s="2" t="s">
        <v>69</v>
      </c>
      <c r="J34" s="2" t="str">
        <f>IFERROR(VLOOKUP(I34,'ATP - Keywords'!$E:$E,1,FALSE),"#N/A")</f>
        <v>https://www.columvi.com/about/what-is-DLBCL.html</v>
      </c>
      <c r="K34" s="2" t="str">
        <f t="shared" si="0"/>
        <v>https://www.columvi.com/about/what-is-DLBCL.html?c=gft-18903220006</v>
      </c>
      <c r="L34" s="2" t="b">
        <v>1</v>
      </c>
      <c r="M34" s="2" t="s">
        <v>3</v>
      </c>
    </row>
    <row r="35" spans="1:13" ht="15.75" customHeight="1" x14ac:dyDescent="0.3">
      <c r="A35" s="2" t="s">
        <v>47</v>
      </c>
      <c r="B35" s="2" t="s">
        <v>48</v>
      </c>
      <c r="C35" s="2" t="s">
        <v>46</v>
      </c>
      <c r="D35" s="2" t="str">
        <f>IFERROR(VLOOKUP(C35,'ATP - Keywords'!$B:$B,1,FALSE),"#N/A")</f>
        <v>Unbranded Condition</v>
      </c>
      <c r="E35" s="2" t="s">
        <v>165</v>
      </c>
      <c r="F35" s="2" t="str">
        <f>IFERROR(VLOOKUP(E35,'ATP - Keywords'!$C:$C,1,FALSE),"#N/A")</f>
        <v>non hodgkins dlbcl</v>
      </c>
      <c r="G35" s="2" t="s">
        <v>131</v>
      </c>
      <c r="H35" s="2" t="s">
        <v>132</v>
      </c>
      <c r="I35" s="2" t="s">
        <v>69</v>
      </c>
      <c r="J35" s="2" t="str">
        <f>IFERROR(VLOOKUP(I35,'ATP - Keywords'!$E:$E,1,FALSE),"#N/A")</f>
        <v>https://www.columvi.com/about/what-is-DLBCL.html</v>
      </c>
      <c r="K35" s="2" t="str">
        <f t="shared" si="0"/>
        <v>https://www.columvi.com/about/what-is-DLBCL.html?c=gft-18903220006</v>
      </c>
      <c r="L35" s="2" t="b">
        <v>1</v>
      </c>
      <c r="M35" s="2" t="s">
        <v>3</v>
      </c>
    </row>
    <row r="36" spans="1:13" ht="15.75" customHeight="1" x14ac:dyDescent="0.3">
      <c r="A36" s="2" t="s">
        <v>47</v>
      </c>
      <c r="B36" s="2" t="s">
        <v>48</v>
      </c>
      <c r="C36" s="2" t="s">
        <v>46</v>
      </c>
      <c r="D36" s="2" t="str">
        <f>IFERROR(VLOOKUP(C36,'ATP - Keywords'!$B:$B,1,FALSE),"#N/A")</f>
        <v>Unbranded Condition</v>
      </c>
      <c r="E36" s="2" t="s">
        <v>166</v>
      </c>
      <c r="F36" s="2" t="str">
        <f>IFERROR(VLOOKUP(E36,'ATP - Keywords'!$C:$C,1,FALSE),"#N/A")</f>
        <v>nhl large b cell lymphoma</v>
      </c>
      <c r="G36" s="2" t="s">
        <v>131</v>
      </c>
      <c r="H36" s="2" t="s">
        <v>132</v>
      </c>
      <c r="I36" s="2" t="s">
        <v>69</v>
      </c>
      <c r="J36" s="2" t="str">
        <f>IFERROR(VLOOKUP(I36,'ATP - Keywords'!$E:$E,1,FALSE),"#N/A")</f>
        <v>https://www.columvi.com/about/what-is-DLBCL.html</v>
      </c>
      <c r="K36" s="2" t="str">
        <f t="shared" si="0"/>
        <v>https://www.columvi.com/about/what-is-DLBCL.html?c=gft-18903220006</v>
      </c>
      <c r="L36" s="2" t="b">
        <v>1</v>
      </c>
      <c r="M36" s="2" t="s">
        <v>3</v>
      </c>
    </row>
    <row r="37" spans="1:13" ht="15.75" customHeight="1" x14ac:dyDescent="0.3">
      <c r="A37" s="2" t="s">
        <v>47</v>
      </c>
      <c r="B37" s="2" t="s">
        <v>48</v>
      </c>
      <c r="C37" s="2" t="s">
        <v>46</v>
      </c>
      <c r="D37" s="2" t="str">
        <f>IFERROR(VLOOKUP(C37,'ATP - Keywords'!$B:$B,1,FALSE),"#N/A")</f>
        <v>Unbranded Condition</v>
      </c>
      <c r="E37" s="2" t="s">
        <v>167</v>
      </c>
      <c r="F37" s="2" t="str">
        <f>IFERROR(VLOOKUP(E37,'ATP - Keywords'!$C:$C,1,FALSE),"#N/A")</f>
        <v>nhl dlbcl</v>
      </c>
      <c r="G37" s="2" t="s">
        <v>131</v>
      </c>
      <c r="H37" s="2" t="s">
        <v>132</v>
      </c>
      <c r="I37" s="2" t="s">
        <v>69</v>
      </c>
      <c r="J37" s="2" t="str">
        <f>IFERROR(VLOOKUP(I37,'ATP - Keywords'!$E:$E,1,FALSE),"#N/A")</f>
        <v>https://www.columvi.com/about/what-is-DLBCL.html</v>
      </c>
      <c r="K37" s="2" t="str">
        <f t="shared" si="0"/>
        <v>https://www.columvi.com/about/what-is-DLBCL.html?c=gft-18903220006</v>
      </c>
      <c r="L37" s="2" t="b">
        <v>1</v>
      </c>
      <c r="M37" s="2" t="s">
        <v>3</v>
      </c>
    </row>
    <row r="38" spans="1:13" ht="15.75" customHeight="1" x14ac:dyDescent="0.3">
      <c r="A38" s="2" t="s">
        <v>47</v>
      </c>
      <c r="B38" s="2" t="s">
        <v>48</v>
      </c>
      <c r="C38" s="2" t="s">
        <v>46</v>
      </c>
      <c r="D38" s="2" t="str">
        <f>IFERROR(VLOOKUP(C38,'ATP - Keywords'!$B:$B,1,FALSE),"#N/A")</f>
        <v>Unbranded Condition</v>
      </c>
      <c r="E38" s="2" t="s">
        <v>168</v>
      </c>
      <c r="F38" s="2" t="str">
        <f>IFERROR(VLOOKUP(E38,'ATP - Keywords'!$C:$C,1,FALSE),"#N/A")</f>
        <v>nhl lymphoma</v>
      </c>
      <c r="G38" s="2" t="s">
        <v>131</v>
      </c>
      <c r="H38" s="2" t="s">
        <v>132</v>
      </c>
      <c r="I38" s="2" t="s">
        <v>69</v>
      </c>
      <c r="J38" s="2" t="str">
        <f>IFERROR(VLOOKUP(I38,'ATP - Keywords'!$E:$E,1,FALSE),"#N/A")</f>
        <v>https://www.columvi.com/about/what-is-DLBCL.html</v>
      </c>
      <c r="K38" s="2" t="str">
        <f t="shared" si="0"/>
        <v>https://www.columvi.com/about/what-is-DLBCL.html?c=gft-18903220006</v>
      </c>
      <c r="L38" s="2" t="b">
        <v>1</v>
      </c>
      <c r="M38" s="2" t="s">
        <v>3</v>
      </c>
    </row>
    <row r="39" spans="1:13" ht="15.75" customHeight="1" x14ac:dyDescent="0.3">
      <c r="A39" s="2" t="s">
        <v>47</v>
      </c>
      <c r="B39" s="2" t="s">
        <v>48</v>
      </c>
      <c r="C39" s="2" t="s">
        <v>46</v>
      </c>
      <c r="D39" s="2" t="str">
        <f>IFERROR(VLOOKUP(C39,'ATP - Keywords'!$B:$B,1,FALSE),"#N/A")</f>
        <v>Unbranded Condition</v>
      </c>
      <c r="E39" s="2" t="s">
        <v>169</v>
      </c>
      <c r="F39" s="2" t="str">
        <f>IFERROR(VLOOKUP(E39,'ATP - Keywords'!$C:$C,1,FALSE),"#N/A")</f>
        <v>non hodgkins lymphoma</v>
      </c>
      <c r="G39" s="2" t="s">
        <v>131</v>
      </c>
      <c r="H39" s="2" t="s">
        <v>132</v>
      </c>
      <c r="I39" s="2" t="s">
        <v>69</v>
      </c>
      <c r="J39" s="2" t="str">
        <f>IFERROR(VLOOKUP(I39,'ATP - Keywords'!$E:$E,1,FALSE),"#N/A")</f>
        <v>https://www.columvi.com/about/what-is-DLBCL.html</v>
      </c>
      <c r="K39" s="2" t="str">
        <f t="shared" si="0"/>
        <v>https://www.columvi.com/about/what-is-DLBCL.html?c=gft-18903220006</v>
      </c>
      <c r="L39" s="2" t="b">
        <v>1</v>
      </c>
      <c r="M39" s="2" t="s">
        <v>3</v>
      </c>
    </row>
    <row r="40" spans="1:13" ht="15.75" customHeight="1" x14ac:dyDescent="0.3">
      <c r="A40" s="2" t="s">
        <v>47</v>
      </c>
      <c r="B40" s="2" t="s">
        <v>48</v>
      </c>
      <c r="C40" s="2" t="s">
        <v>46</v>
      </c>
      <c r="D40" s="2" t="str">
        <f>IFERROR(VLOOKUP(C40,'ATP - Keywords'!$B:$B,1,FALSE),"#N/A")</f>
        <v>Unbranded Condition</v>
      </c>
      <c r="E40" s="2" t="s">
        <v>170</v>
      </c>
      <c r="F40" s="2" t="str">
        <f>IFERROR(VLOOKUP(E40,'ATP - Keywords'!$C:$C,1,FALSE),"#N/A")</f>
        <v>non hodgkins b cell lymphoma</v>
      </c>
      <c r="G40" s="2" t="s">
        <v>131</v>
      </c>
      <c r="H40" s="2" t="s">
        <v>132</v>
      </c>
      <c r="I40" s="2" t="s">
        <v>69</v>
      </c>
      <c r="J40" s="2" t="str">
        <f>IFERROR(VLOOKUP(I40,'ATP - Keywords'!$E:$E,1,FALSE),"#N/A")</f>
        <v>https://www.columvi.com/about/what-is-DLBCL.html</v>
      </c>
      <c r="K40" s="2" t="str">
        <f t="shared" si="0"/>
        <v>https://www.columvi.com/about/what-is-DLBCL.html?c=gft-18903220006</v>
      </c>
      <c r="L40" s="2" t="b">
        <v>1</v>
      </c>
      <c r="M40" s="2" t="s">
        <v>3</v>
      </c>
    </row>
    <row r="41" spans="1:13" ht="15.75" customHeight="1" x14ac:dyDescent="0.3">
      <c r="A41" s="2" t="s">
        <v>47</v>
      </c>
      <c r="B41" s="2" t="s">
        <v>48</v>
      </c>
      <c r="C41" s="2" t="s">
        <v>46</v>
      </c>
      <c r="D41" s="2" t="str">
        <f>IFERROR(VLOOKUP(C41,'ATP - Keywords'!$B:$B,1,FALSE),"#N/A")</f>
        <v>Unbranded Condition</v>
      </c>
      <c r="E41" s="2" t="s">
        <v>171</v>
      </c>
      <c r="F41" s="2" t="str">
        <f>IFERROR(VLOOKUP(E41,'ATP - Keywords'!$C:$C,1,FALSE),"#N/A")</f>
        <v>non-hodgkin lymphoma</v>
      </c>
      <c r="G41" s="2" t="s">
        <v>131</v>
      </c>
      <c r="H41" s="2" t="s">
        <v>132</v>
      </c>
      <c r="I41" s="2" t="s">
        <v>69</v>
      </c>
      <c r="J41" s="2" t="str">
        <f>IFERROR(VLOOKUP(I41,'ATP - Keywords'!$E:$E,1,FALSE),"#N/A")</f>
        <v>https://www.columvi.com/about/what-is-DLBCL.html</v>
      </c>
      <c r="K41" s="2" t="str">
        <f t="shared" si="0"/>
        <v>https://www.columvi.com/about/what-is-DLBCL.html?c=gft-18903220006</v>
      </c>
      <c r="L41" s="2" t="b">
        <v>1</v>
      </c>
      <c r="M41" s="2" t="s">
        <v>3</v>
      </c>
    </row>
    <row r="42" spans="1:13" ht="15.75" customHeight="1" x14ac:dyDescent="0.3">
      <c r="A42" s="2" t="s">
        <v>47</v>
      </c>
      <c r="B42" s="2" t="s">
        <v>70</v>
      </c>
      <c r="C42" s="2" t="s">
        <v>71</v>
      </c>
      <c r="D42" s="2" t="str">
        <f>IFERROR(VLOOKUP(C42,'ATP - Keywords'!$B:$B,1,FALSE),"#N/A")</f>
        <v>Unbranded DLBCL Causes</v>
      </c>
      <c r="E42" s="2" t="s">
        <v>172</v>
      </c>
      <c r="F42" s="2" t="str">
        <f>IFERROR(VLOOKUP(E42,'ATP - Keywords'!$C:$C,1,FALSE),"#N/A")</f>
        <v>dlbcl causes</v>
      </c>
      <c r="G42" s="2" t="s">
        <v>131</v>
      </c>
      <c r="H42" s="2" t="s">
        <v>132</v>
      </c>
      <c r="I42" s="2" t="s">
        <v>69</v>
      </c>
      <c r="J42" s="2" t="str">
        <f>IFERROR(VLOOKUP(I42,'ATP - Keywords'!$E:$E,1,FALSE),"#N/A")</f>
        <v>https://www.columvi.com/about/what-is-DLBCL.html</v>
      </c>
      <c r="K42" s="2" t="str">
        <f t="shared" si="0"/>
        <v>https://www.columvi.com/about/what-is-DLBCL.html?c=gft-18903220006</v>
      </c>
      <c r="L42" s="2" t="b">
        <v>1</v>
      </c>
      <c r="M42" s="2" t="s">
        <v>3</v>
      </c>
    </row>
    <row r="43" spans="1:13" ht="15.75" customHeight="1" x14ac:dyDescent="0.3">
      <c r="A43" s="2" t="s">
        <v>47</v>
      </c>
      <c r="B43" s="2" t="s">
        <v>70</v>
      </c>
      <c r="C43" s="2" t="s">
        <v>71</v>
      </c>
      <c r="D43" s="2" t="str">
        <f>IFERROR(VLOOKUP(C43,'ATP - Keywords'!$B:$B,1,FALSE),"#N/A")</f>
        <v>Unbranded DLBCL Causes</v>
      </c>
      <c r="E43" s="2" t="s">
        <v>173</v>
      </c>
      <c r="F43" s="2" t="str">
        <f>IFERROR(VLOOKUP(E43,'ATP - Keywords'!$C:$C,1,FALSE),"#N/A")</f>
        <v>large b cell lymphoma causes</v>
      </c>
      <c r="G43" s="2" t="s">
        <v>131</v>
      </c>
      <c r="H43" s="2" t="s">
        <v>132</v>
      </c>
      <c r="I43" s="2" t="s">
        <v>69</v>
      </c>
      <c r="J43" s="2" t="str">
        <f>IFERROR(VLOOKUP(I43,'ATP - Keywords'!$E:$E,1,FALSE),"#N/A")</f>
        <v>https://www.columvi.com/about/what-is-DLBCL.html</v>
      </c>
      <c r="K43" s="2" t="str">
        <f t="shared" si="0"/>
        <v>https://www.columvi.com/about/what-is-DLBCL.html?c=gft-18903220006</v>
      </c>
      <c r="L43" s="2" t="b">
        <v>1</v>
      </c>
      <c r="M43" s="2" t="s">
        <v>3</v>
      </c>
    </row>
    <row r="44" spans="1:13" ht="15.75" customHeight="1" x14ac:dyDescent="0.3">
      <c r="A44" s="2" t="s">
        <v>47</v>
      </c>
      <c r="B44" s="2" t="s">
        <v>70</v>
      </c>
      <c r="C44" s="2" t="s">
        <v>71</v>
      </c>
      <c r="D44" s="2" t="str">
        <f>IFERROR(VLOOKUP(C44,'ATP - Keywords'!$B:$B,1,FALSE),"#N/A")</f>
        <v>Unbranded DLBCL Causes</v>
      </c>
      <c r="E44" s="2" t="s">
        <v>174</v>
      </c>
      <c r="F44" s="2" t="str">
        <f>IFERROR(VLOOKUP(E44,'ATP - Keywords'!$C:$C,1,FALSE),"#N/A")</f>
        <v>what causes dlbcl</v>
      </c>
      <c r="G44" s="2" t="s">
        <v>131</v>
      </c>
      <c r="H44" s="2" t="s">
        <v>132</v>
      </c>
      <c r="I44" s="2" t="s">
        <v>69</v>
      </c>
      <c r="J44" s="2" t="str">
        <f>IFERROR(VLOOKUP(I44,'ATP - Keywords'!$E:$E,1,FALSE),"#N/A")</f>
        <v>https://www.columvi.com/about/what-is-DLBCL.html</v>
      </c>
      <c r="K44" s="2" t="str">
        <f t="shared" si="0"/>
        <v>https://www.columvi.com/about/what-is-DLBCL.html?c=gft-18903220006</v>
      </c>
      <c r="L44" s="2" t="b">
        <v>1</v>
      </c>
      <c r="M44" s="2" t="s">
        <v>3</v>
      </c>
    </row>
    <row r="45" spans="1:13" ht="15.75" customHeight="1" x14ac:dyDescent="0.3">
      <c r="A45" s="2" t="s">
        <v>47</v>
      </c>
      <c r="B45" s="2" t="s">
        <v>70</v>
      </c>
      <c r="C45" s="2" t="s">
        <v>71</v>
      </c>
      <c r="D45" s="2" t="str">
        <f>IFERROR(VLOOKUP(C45,'ATP - Keywords'!$B:$B,1,FALSE),"#N/A")</f>
        <v>Unbranded DLBCL Causes</v>
      </c>
      <c r="E45" s="2" t="s">
        <v>175</v>
      </c>
      <c r="F45" s="2" t="str">
        <f>IFERROR(VLOOKUP(E45,'ATP - Keywords'!$C:$C,1,FALSE),"#N/A")</f>
        <v>what causes large b cell lymphoma</v>
      </c>
      <c r="G45" s="2" t="s">
        <v>131</v>
      </c>
      <c r="H45" s="2" t="s">
        <v>132</v>
      </c>
      <c r="I45" s="2" t="s">
        <v>69</v>
      </c>
      <c r="J45" s="2" t="str">
        <f>IFERROR(VLOOKUP(I45,'ATP - Keywords'!$E:$E,1,FALSE),"#N/A")</f>
        <v>https://www.columvi.com/about/what-is-DLBCL.html</v>
      </c>
      <c r="K45" s="2" t="str">
        <f t="shared" si="0"/>
        <v>https://www.columvi.com/about/what-is-DLBCL.html?c=gft-18903220006</v>
      </c>
      <c r="L45" s="2" t="b">
        <v>1</v>
      </c>
      <c r="M45" s="2" t="s">
        <v>3</v>
      </c>
    </row>
    <row r="46" spans="1:13" ht="15.75" customHeight="1" x14ac:dyDescent="0.3">
      <c r="A46" s="2" t="s">
        <v>47</v>
      </c>
      <c r="B46" s="2" t="s">
        <v>70</v>
      </c>
      <c r="C46" s="2" t="s">
        <v>71</v>
      </c>
      <c r="D46" s="2" t="str">
        <f>IFERROR(VLOOKUP(C46,'ATP - Keywords'!$B:$B,1,FALSE),"#N/A")</f>
        <v>Unbranded DLBCL Causes</v>
      </c>
      <c r="E46" s="2" t="s">
        <v>176</v>
      </c>
      <c r="F46" s="2" t="str">
        <f>IFERROR(VLOOKUP(E46,'ATP - Keywords'!$C:$C,1,FALSE),"#N/A")</f>
        <v>how do you get dlbcl</v>
      </c>
      <c r="G46" s="2" t="s">
        <v>131</v>
      </c>
      <c r="H46" s="2" t="s">
        <v>132</v>
      </c>
      <c r="I46" s="2" t="s">
        <v>69</v>
      </c>
      <c r="J46" s="2" t="str">
        <f>IFERROR(VLOOKUP(I46,'ATP - Keywords'!$E:$E,1,FALSE),"#N/A")</f>
        <v>https://www.columvi.com/about/what-is-DLBCL.html</v>
      </c>
      <c r="K46" s="2" t="str">
        <f t="shared" si="0"/>
        <v>https://www.columvi.com/about/what-is-DLBCL.html?c=gft-18903220006</v>
      </c>
      <c r="L46" s="2" t="b">
        <v>1</v>
      </c>
      <c r="M46" s="2" t="s">
        <v>3</v>
      </c>
    </row>
    <row r="47" spans="1:13" ht="15.75" customHeight="1" x14ac:dyDescent="0.3">
      <c r="A47" s="2" t="s">
        <v>47</v>
      </c>
      <c r="B47" s="2" t="s">
        <v>70</v>
      </c>
      <c r="C47" s="2" t="s">
        <v>71</v>
      </c>
      <c r="D47" s="2" t="str">
        <f>IFERROR(VLOOKUP(C47,'ATP - Keywords'!$B:$B,1,FALSE),"#N/A")</f>
        <v>Unbranded DLBCL Causes</v>
      </c>
      <c r="E47" s="2" t="s">
        <v>177</v>
      </c>
      <c r="F47" s="2" t="str">
        <f>IFERROR(VLOOKUP(E47,'ATP - Keywords'!$C:$C,1,FALSE),"#N/A")</f>
        <v>how do you get large b cell lymphoma</v>
      </c>
      <c r="G47" s="2" t="s">
        <v>131</v>
      </c>
      <c r="H47" s="2" t="s">
        <v>132</v>
      </c>
      <c r="I47" s="2" t="s">
        <v>69</v>
      </c>
      <c r="J47" s="2" t="str">
        <f>IFERROR(VLOOKUP(I47,'ATP - Keywords'!$E:$E,1,FALSE),"#N/A")</f>
        <v>https://www.columvi.com/about/what-is-DLBCL.html</v>
      </c>
      <c r="K47" s="2" t="str">
        <f t="shared" si="0"/>
        <v>https://www.columvi.com/about/what-is-DLBCL.html?c=gft-18903220006</v>
      </c>
      <c r="L47" s="2" t="b">
        <v>1</v>
      </c>
      <c r="M47" s="2" t="s">
        <v>3</v>
      </c>
    </row>
    <row r="48" spans="1:13" ht="15.75" customHeight="1" x14ac:dyDescent="0.3">
      <c r="A48" s="2" t="s">
        <v>47</v>
      </c>
      <c r="B48" s="2" t="s">
        <v>70</v>
      </c>
      <c r="C48" s="2" t="s">
        <v>71</v>
      </c>
      <c r="D48" s="2" t="str">
        <f>IFERROR(VLOOKUP(C48,'ATP - Keywords'!$B:$B,1,FALSE),"#N/A")</f>
        <v>Unbranded DLBCL Causes</v>
      </c>
      <c r="E48" s="2" t="s">
        <v>178</v>
      </c>
      <c r="F48" s="2" t="str">
        <f>IFERROR(VLOOKUP(E48,'ATP - Keywords'!$C:$C,1,FALSE),"#N/A")</f>
        <v>who gets large b cell lymphoma</v>
      </c>
      <c r="G48" s="2" t="s">
        <v>131</v>
      </c>
      <c r="H48" s="2" t="s">
        <v>132</v>
      </c>
      <c r="I48" s="2" t="s">
        <v>69</v>
      </c>
      <c r="J48" s="2" t="str">
        <f>IFERROR(VLOOKUP(I48,'ATP - Keywords'!$E:$E,1,FALSE),"#N/A")</f>
        <v>https://www.columvi.com/about/what-is-DLBCL.html</v>
      </c>
      <c r="K48" s="2" t="str">
        <f t="shared" si="0"/>
        <v>https://www.columvi.com/about/what-is-DLBCL.html?c=gft-18903220006</v>
      </c>
      <c r="L48" s="2" t="b">
        <v>1</v>
      </c>
      <c r="M48" s="2" t="s">
        <v>3</v>
      </c>
    </row>
    <row r="49" spans="1:13" ht="15.75" customHeight="1" x14ac:dyDescent="0.3">
      <c r="A49" s="2" t="s">
        <v>47</v>
      </c>
      <c r="B49" s="2" t="s">
        <v>70</v>
      </c>
      <c r="C49" s="2" t="s">
        <v>71</v>
      </c>
      <c r="D49" s="2" t="str">
        <f>IFERROR(VLOOKUP(C49,'ATP - Keywords'!$B:$B,1,FALSE),"#N/A")</f>
        <v>Unbranded DLBCL Causes</v>
      </c>
      <c r="E49" s="2" t="s">
        <v>179</v>
      </c>
      <c r="F49" s="2" t="str">
        <f>IFERROR(VLOOKUP(E49,'ATP - Keywords'!$C:$C,1,FALSE),"#N/A")</f>
        <v>what is the cause of diffuse large b cell lymphoma</v>
      </c>
      <c r="G49" s="2" t="s">
        <v>131</v>
      </c>
      <c r="H49" s="2" t="s">
        <v>132</v>
      </c>
      <c r="I49" s="2" t="s">
        <v>69</v>
      </c>
      <c r="J49" s="2" t="str">
        <f>IFERROR(VLOOKUP(I49,'ATP - Keywords'!$E:$E,1,FALSE),"#N/A")</f>
        <v>https://www.columvi.com/about/what-is-DLBCL.html</v>
      </c>
      <c r="K49" s="2" t="str">
        <f t="shared" si="0"/>
        <v>https://www.columvi.com/about/what-is-DLBCL.html?c=gft-18903220006</v>
      </c>
      <c r="L49" s="2" t="b">
        <v>1</v>
      </c>
      <c r="M49" s="2" t="s">
        <v>3</v>
      </c>
    </row>
    <row r="50" spans="1:13" ht="15.75" customHeight="1" x14ac:dyDescent="0.3">
      <c r="A50" s="2" t="s">
        <v>47</v>
      </c>
      <c r="B50" s="2" t="s">
        <v>70</v>
      </c>
      <c r="C50" s="2" t="s">
        <v>71</v>
      </c>
      <c r="D50" s="2" t="str">
        <f>IFERROR(VLOOKUP(C50,'ATP - Keywords'!$B:$B,1,FALSE),"#N/A")</f>
        <v>Unbranded DLBCL Causes</v>
      </c>
      <c r="E50" s="2" t="s">
        <v>180</v>
      </c>
      <c r="F50" s="2" t="str">
        <f>IFERROR(VLOOKUP(E50,'ATP - Keywords'!$C:$C,1,FALSE),"#N/A")</f>
        <v>how does dlbcl develop</v>
      </c>
      <c r="G50" s="2" t="s">
        <v>131</v>
      </c>
      <c r="H50" s="2" t="s">
        <v>132</v>
      </c>
      <c r="I50" s="2" t="s">
        <v>69</v>
      </c>
      <c r="J50" s="2" t="str">
        <f>IFERROR(VLOOKUP(I50,'ATP - Keywords'!$E:$E,1,FALSE),"#N/A")</f>
        <v>https://www.columvi.com/about/what-is-DLBCL.html</v>
      </c>
      <c r="K50" s="2" t="str">
        <f t="shared" si="0"/>
        <v>https://www.columvi.com/about/what-is-DLBCL.html?c=gft-18903220006</v>
      </c>
      <c r="L50" s="2" t="b">
        <v>1</v>
      </c>
      <c r="M50" s="2" t="s">
        <v>3</v>
      </c>
    </row>
    <row r="51" spans="1:13" ht="15.75" customHeight="1" x14ac:dyDescent="0.3">
      <c r="A51" s="2" t="s">
        <v>47</v>
      </c>
      <c r="B51" s="2" t="s">
        <v>70</v>
      </c>
      <c r="C51" s="2" t="s">
        <v>71</v>
      </c>
      <c r="D51" s="2" t="str">
        <f>IFERROR(VLOOKUP(C51,'ATP - Keywords'!$B:$B,1,FALSE),"#N/A")</f>
        <v>Unbranded DLBCL Causes</v>
      </c>
      <c r="E51" s="2" t="s">
        <v>181</v>
      </c>
      <c r="F51" s="2" t="str">
        <f>IFERROR(VLOOKUP(E51,'ATP - Keywords'!$C:$C,1,FALSE),"#N/A")</f>
        <v>development of dlbcl</v>
      </c>
      <c r="G51" s="2" t="s">
        <v>131</v>
      </c>
      <c r="H51" s="2" t="s">
        <v>132</v>
      </c>
      <c r="I51" s="2" t="s">
        <v>69</v>
      </c>
      <c r="J51" s="2" t="str">
        <f>IFERROR(VLOOKUP(I51,'ATP - Keywords'!$E:$E,1,FALSE),"#N/A")</f>
        <v>https://www.columvi.com/about/what-is-DLBCL.html</v>
      </c>
      <c r="K51" s="2" t="str">
        <f t="shared" si="0"/>
        <v>https://www.columvi.com/about/what-is-DLBCL.html?c=gft-18903220006</v>
      </c>
      <c r="L51" s="2" t="b">
        <v>1</v>
      </c>
      <c r="M51" s="2" t="s">
        <v>3</v>
      </c>
    </row>
    <row r="52" spans="1:13" ht="15.75" customHeight="1" x14ac:dyDescent="0.3">
      <c r="A52" s="2" t="s">
        <v>47</v>
      </c>
      <c r="B52" s="2" t="s">
        <v>70</v>
      </c>
      <c r="C52" s="2" t="s">
        <v>71</v>
      </c>
      <c r="D52" s="2" t="str">
        <f>IFERROR(VLOOKUP(C52,'ATP - Keywords'!$B:$B,1,FALSE),"#N/A")</f>
        <v>Unbranded DLBCL Causes</v>
      </c>
      <c r="E52" s="2" t="s">
        <v>182</v>
      </c>
      <c r="F52" s="2" t="str">
        <f>IFERROR(VLOOKUP(E52,'ATP - Keywords'!$C:$C,1,FALSE),"#N/A")</f>
        <v>what causes relapsed or refractory dlbcl</v>
      </c>
      <c r="G52" s="2" t="s">
        <v>131</v>
      </c>
      <c r="H52" s="2" t="s">
        <v>132</v>
      </c>
      <c r="I52" s="2" t="s">
        <v>69</v>
      </c>
      <c r="J52" s="2" t="str">
        <f>IFERROR(VLOOKUP(I52,'ATP - Keywords'!$E:$E,1,FALSE),"#N/A")</f>
        <v>https://www.columvi.com/about/what-is-DLBCL.html</v>
      </c>
      <c r="K52" s="2" t="str">
        <f t="shared" si="0"/>
        <v>https://www.columvi.com/about/what-is-DLBCL.html?c=gft-18903220006</v>
      </c>
      <c r="L52" s="2" t="b">
        <v>1</v>
      </c>
      <c r="M52" s="2" t="s">
        <v>3</v>
      </c>
    </row>
    <row r="53" spans="1:13" ht="15.75" customHeight="1" x14ac:dyDescent="0.3">
      <c r="A53" s="2" t="s">
        <v>47</v>
      </c>
      <c r="B53" s="2" t="s">
        <v>70</v>
      </c>
      <c r="C53" s="2" t="s">
        <v>71</v>
      </c>
      <c r="D53" s="2" t="str">
        <f>IFERROR(VLOOKUP(C53,'ATP - Keywords'!$B:$B,1,FALSE),"#N/A")</f>
        <v>Unbranded DLBCL Causes</v>
      </c>
      <c r="E53" s="2" t="s">
        <v>183</v>
      </c>
      <c r="F53" s="2" t="str">
        <f>IFERROR(VLOOKUP(E53,'ATP - Keywords'!$C:$C,1,FALSE),"#N/A")</f>
        <v>causes of r/r dlbcl</v>
      </c>
      <c r="G53" s="2" t="s">
        <v>131</v>
      </c>
      <c r="H53" s="2" t="s">
        <v>132</v>
      </c>
      <c r="I53" s="2" t="s">
        <v>69</v>
      </c>
      <c r="J53" s="2" t="str">
        <f>IFERROR(VLOOKUP(I53,'ATP - Keywords'!$E:$E,1,FALSE),"#N/A")</f>
        <v>https://www.columvi.com/about/what-is-DLBCL.html</v>
      </c>
      <c r="K53" s="2" t="str">
        <f t="shared" si="0"/>
        <v>https://www.columvi.com/about/what-is-DLBCL.html?c=gft-18903220006</v>
      </c>
      <c r="L53" s="2" t="b">
        <v>1</v>
      </c>
      <c r="M53" s="2" t="s">
        <v>3</v>
      </c>
    </row>
    <row r="54" spans="1:13" ht="15.75" customHeight="1" x14ac:dyDescent="0.3">
      <c r="A54" s="2" t="s">
        <v>47</v>
      </c>
      <c r="B54" s="2" t="s">
        <v>75</v>
      </c>
      <c r="C54" s="2" t="s">
        <v>76</v>
      </c>
      <c r="D54" s="2" t="str">
        <f>IFERROR(VLOOKUP(C54,'ATP - Keywords'!$B:$B,1,FALSE),"#N/A")</f>
        <v>Unbranded DLBCL Diagnosis</v>
      </c>
      <c r="E54" s="2" t="s">
        <v>184</v>
      </c>
      <c r="F54" s="2" t="str">
        <f>IFERROR(VLOOKUP(E54,'ATP - Keywords'!$C:$C,1,FALSE),"#N/A")</f>
        <v>large b cell lymphoma diagnosis</v>
      </c>
      <c r="G54" s="2" t="s">
        <v>131</v>
      </c>
      <c r="H54" s="2" t="s">
        <v>132</v>
      </c>
      <c r="I54" s="2" t="s">
        <v>69</v>
      </c>
      <c r="J54" s="2" t="str">
        <f>IFERROR(VLOOKUP(I54,'ATP - Keywords'!$E:$E,1,FALSE),"#N/A")</f>
        <v>https://www.columvi.com/about/what-is-DLBCL.html</v>
      </c>
      <c r="K54" s="2" t="str">
        <f t="shared" si="0"/>
        <v>https://www.columvi.com/about/what-is-DLBCL.html?c=gft-18903220006</v>
      </c>
      <c r="L54" s="2" t="b">
        <v>1</v>
      </c>
      <c r="M54" s="2" t="s">
        <v>3</v>
      </c>
    </row>
    <row r="55" spans="1:13" ht="15.75" customHeight="1" x14ac:dyDescent="0.3">
      <c r="A55" s="2" t="s">
        <v>47</v>
      </c>
      <c r="B55" s="2" t="s">
        <v>75</v>
      </c>
      <c r="C55" s="2" t="s">
        <v>76</v>
      </c>
      <c r="D55" s="2" t="str">
        <f>IFERROR(VLOOKUP(C55,'ATP - Keywords'!$B:$B,1,FALSE),"#N/A")</f>
        <v>Unbranded DLBCL Diagnosis</v>
      </c>
      <c r="E55" s="2" t="s">
        <v>185</v>
      </c>
      <c r="F55" s="2" t="str">
        <f>IFERROR(VLOOKUP(E55,'ATP - Keywords'!$C:$C,1,FALSE),"#N/A")</f>
        <v>dlbcl diagnosis</v>
      </c>
      <c r="G55" s="2" t="s">
        <v>131</v>
      </c>
      <c r="H55" s="2" t="s">
        <v>132</v>
      </c>
      <c r="I55" s="2" t="s">
        <v>69</v>
      </c>
      <c r="J55" s="2" t="str">
        <f>IFERROR(VLOOKUP(I55,'ATP - Keywords'!$E:$E,1,FALSE),"#N/A")</f>
        <v>https://www.columvi.com/about/what-is-DLBCL.html</v>
      </c>
      <c r="K55" s="2" t="str">
        <f t="shared" si="0"/>
        <v>https://www.columvi.com/about/what-is-DLBCL.html?c=gft-18903220006</v>
      </c>
      <c r="L55" s="2" t="b">
        <v>1</v>
      </c>
      <c r="M55" s="2" t="s">
        <v>3</v>
      </c>
    </row>
    <row r="56" spans="1:13" ht="15.75" customHeight="1" x14ac:dyDescent="0.3">
      <c r="A56" s="2" t="s">
        <v>47</v>
      </c>
      <c r="B56" s="2" t="s">
        <v>75</v>
      </c>
      <c r="C56" s="2" t="s">
        <v>76</v>
      </c>
      <c r="D56" s="2" t="str">
        <f>IFERROR(VLOOKUP(C56,'ATP - Keywords'!$B:$B,1,FALSE),"#N/A")</f>
        <v>Unbranded DLBCL Diagnosis</v>
      </c>
      <c r="E56" s="2" t="s">
        <v>186</v>
      </c>
      <c r="F56" s="2" t="str">
        <f>IFERROR(VLOOKUP(E56,'ATP - Keywords'!$C:$C,1,FALSE),"#N/A")</f>
        <v>diagnosed with large b cell lymphoma</v>
      </c>
      <c r="G56" s="2" t="s">
        <v>131</v>
      </c>
      <c r="H56" s="2" t="s">
        <v>132</v>
      </c>
      <c r="I56" s="2" t="s">
        <v>69</v>
      </c>
      <c r="J56" s="2" t="str">
        <f>IFERROR(VLOOKUP(I56,'ATP - Keywords'!$E:$E,1,FALSE),"#N/A")</f>
        <v>https://www.columvi.com/about/what-is-DLBCL.html</v>
      </c>
      <c r="K56" s="2" t="str">
        <f t="shared" si="0"/>
        <v>https://www.columvi.com/about/what-is-DLBCL.html?c=gft-18903220006</v>
      </c>
      <c r="L56" s="2" t="b">
        <v>1</v>
      </c>
      <c r="M56" s="2" t="s">
        <v>3</v>
      </c>
    </row>
    <row r="57" spans="1:13" ht="15.75" customHeight="1" x14ac:dyDescent="0.3">
      <c r="A57" s="2" t="s">
        <v>47</v>
      </c>
      <c r="B57" s="2" t="s">
        <v>75</v>
      </c>
      <c r="C57" s="2" t="s">
        <v>76</v>
      </c>
      <c r="D57" s="2" t="str">
        <f>IFERROR(VLOOKUP(C57,'ATP - Keywords'!$B:$B,1,FALSE),"#N/A")</f>
        <v>Unbranded DLBCL Diagnosis</v>
      </c>
      <c r="E57" s="2" t="s">
        <v>187</v>
      </c>
      <c r="F57" s="2" t="str">
        <f>IFERROR(VLOOKUP(E57,'ATP - Keywords'!$C:$C,1,FALSE),"#N/A")</f>
        <v>diagnosed with dlbcl</v>
      </c>
      <c r="G57" s="2" t="s">
        <v>131</v>
      </c>
      <c r="H57" s="2" t="s">
        <v>132</v>
      </c>
      <c r="I57" s="2" t="s">
        <v>69</v>
      </c>
      <c r="J57" s="2" t="str">
        <f>IFERROR(VLOOKUP(I57,'ATP - Keywords'!$E:$E,1,FALSE),"#N/A")</f>
        <v>https://www.columvi.com/about/what-is-DLBCL.html</v>
      </c>
      <c r="K57" s="2" t="str">
        <f t="shared" si="0"/>
        <v>https://www.columvi.com/about/what-is-DLBCL.html?c=gft-18903220006</v>
      </c>
      <c r="L57" s="2" t="b">
        <v>1</v>
      </c>
      <c r="M57" s="2" t="s">
        <v>3</v>
      </c>
    </row>
    <row r="58" spans="1:13" ht="15.75" customHeight="1" x14ac:dyDescent="0.3">
      <c r="A58" s="2" t="s">
        <v>47</v>
      </c>
      <c r="B58" s="2" t="s">
        <v>75</v>
      </c>
      <c r="C58" s="2" t="s">
        <v>76</v>
      </c>
      <c r="D58" s="2" t="str">
        <f>IFERROR(VLOOKUP(C58,'ATP - Keywords'!$B:$B,1,FALSE),"#N/A")</f>
        <v>Unbranded DLBCL Diagnosis</v>
      </c>
      <c r="E58" s="2" t="s">
        <v>188</v>
      </c>
      <c r="F58" s="2" t="str">
        <f>IFERROR(VLOOKUP(E58,'ATP - Keywords'!$C:$C,1,FALSE),"#N/A")</f>
        <v>dlbcl diagnosis info</v>
      </c>
      <c r="G58" s="2" t="s">
        <v>131</v>
      </c>
      <c r="H58" s="2" t="s">
        <v>132</v>
      </c>
      <c r="I58" s="2" t="s">
        <v>69</v>
      </c>
      <c r="J58" s="2" t="str">
        <f>IFERROR(VLOOKUP(I58,'ATP - Keywords'!$E:$E,1,FALSE),"#N/A")</f>
        <v>https://www.columvi.com/about/what-is-DLBCL.html</v>
      </c>
      <c r="K58" s="2" t="str">
        <f t="shared" si="0"/>
        <v>https://www.columvi.com/about/what-is-DLBCL.html?c=gft-18903220006</v>
      </c>
      <c r="L58" s="2" t="b">
        <v>1</v>
      </c>
      <c r="M58" s="2" t="s">
        <v>3</v>
      </c>
    </row>
    <row r="59" spans="1:13" ht="15.75" customHeight="1" x14ac:dyDescent="0.3">
      <c r="A59" s="2" t="s">
        <v>47</v>
      </c>
      <c r="B59" s="2" t="s">
        <v>77</v>
      </c>
      <c r="C59" s="2" t="s">
        <v>78</v>
      </c>
      <c r="D59" s="2" t="str">
        <f>IFERROR(VLOOKUP(C59,'ATP - Keywords'!$B:$B,1,FALSE),"#N/A")</f>
        <v>Unbranded DLBCL Resources</v>
      </c>
      <c r="E59" s="2" t="s">
        <v>189</v>
      </c>
      <c r="F59" s="2" t="str">
        <f>IFERROR(VLOOKUP(E59,'ATP - Keywords'!$C:$C,1,FALSE),"#N/A")</f>
        <v>dlbcl information</v>
      </c>
      <c r="G59" s="2" t="s">
        <v>131</v>
      </c>
      <c r="H59" s="2" t="s">
        <v>190</v>
      </c>
      <c r="I59" s="2" t="s">
        <v>81</v>
      </c>
      <c r="J59" s="2" t="str">
        <f>IFERROR(VLOOKUP(I59,'ATP - Keywords'!$E:$E,1,FALSE),"#N/A")</f>
        <v>https://www.columvi.com/resources/helpful-links.html</v>
      </c>
      <c r="K59" s="2" t="str">
        <f t="shared" si="0"/>
        <v>https://www.columvi.com/resources/helpful-links.html?c=gft-18903220006</v>
      </c>
      <c r="L59" s="2" t="b">
        <v>1</v>
      </c>
      <c r="M59" s="2" t="s">
        <v>3</v>
      </c>
    </row>
    <row r="60" spans="1:13" ht="15.75" customHeight="1" x14ac:dyDescent="0.3">
      <c r="A60" s="2" t="s">
        <v>47</v>
      </c>
      <c r="B60" s="2" t="s">
        <v>77</v>
      </c>
      <c r="C60" s="2" t="s">
        <v>78</v>
      </c>
      <c r="D60" s="2" t="str">
        <f>IFERROR(VLOOKUP(C60,'ATP - Keywords'!$B:$B,1,FALSE),"#N/A")</f>
        <v>Unbranded DLBCL Resources</v>
      </c>
      <c r="E60" s="2" t="s">
        <v>191</v>
      </c>
      <c r="F60" s="2" t="str">
        <f>IFERROR(VLOOKUP(E60,'ATP - Keywords'!$C:$C,1,FALSE),"#N/A")</f>
        <v>dlbcl patient information</v>
      </c>
      <c r="G60" s="2" t="s">
        <v>131</v>
      </c>
      <c r="H60" s="2" t="s">
        <v>190</v>
      </c>
      <c r="I60" s="2" t="s">
        <v>81</v>
      </c>
      <c r="J60" s="2" t="str">
        <f>IFERROR(VLOOKUP(I60,'ATP - Keywords'!$E:$E,1,FALSE),"#N/A")</f>
        <v>https://www.columvi.com/resources/helpful-links.html</v>
      </c>
      <c r="K60" s="2" t="str">
        <f t="shared" si="0"/>
        <v>https://www.columvi.com/resources/helpful-links.html?c=gft-18903220006</v>
      </c>
      <c r="L60" s="2" t="b">
        <v>1</v>
      </c>
      <c r="M60" s="2" t="s">
        <v>3</v>
      </c>
    </row>
    <row r="61" spans="1:13" ht="15.75" customHeight="1" x14ac:dyDescent="0.3">
      <c r="A61" s="2" t="s">
        <v>47</v>
      </c>
      <c r="B61" s="2" t="s">
        <v>77</v>
      </c>
      <c r="C61" s="2" t="s">
        <v>78</v>
      </c>
      <c r="D61" s="2" t="str">
        <f>IFERROR(VLOOKUP(C61,'ATP - Keywords'!$B:$B,1,FALSE),"#N/A")</f>
        <v>Unbranded DLBCL Resources</v>
      </c>
      <c r="E61" s="2" t="s">
        <v>192</v>
      </c>
      <c r="F61" s="2" t="str">
        <f>IFERROR(VLOOKUP(E61,'ATP - Keywords'!$C:$C,1,FALSE),"#N/A")</f>
        <v>large b cell lymphoma information</v>
      </c>
      <c r="G61" s="2" t="s">
        <v>131</v>
      </c>
      <c r="H61" s="2" t="s">
        <v>190</v>
      </c>
      <c r="I61" s="2" t="s">
        <v>81</v>
      </c>
      <c r="J61" s="2" t="str">
        <f>IFERROR(VLOOKUP(I61,'ATP - Keywords'!$E:$E,1,FALSE),"#N/A")</f>
        <v>https://www.columvi.com/resources/helpful-links.html</v>
      </c>
      <c r="K61" s="2" t="str">
        <f t="shared" si="0"/>
        <v>https://www.columvi.com/resources/helpful-links.html?c=gft-18903220006</v>
      </c>
      <c r="L61" s="2" t="b">
        <v>1</v>
      </c>
      <c r="M61" s="2" t="s">
        <v>3</v>
      </c>
    </row>
    <row r="62" spans="1:13" ht="15.75" customHeight="1" x14ac:dyDescent="0.3">
      <c r="A62" s="2" t="s">
        <v>47</v>
      </c>
      <c r="B62" s="2" t="s">
        <v>77</v>
      </c>
      <c r="C62" s="2" t="s">
        <v>78</v>
      </c>
      <c r="D62" s="2" t="str">
        <f>IFERROR(VLOOKUP(C62,'ATP - Keywords'!$B:$B,1,FALSE),"#N/A")</f>
        <v>Unbranded DLBCL Resources</v>
      </c>
      <c r="E62" s="2" t="s">
        <v>193</v>
      </c>
      <c r="F62" s="2" t="str">
        <f>IFERROR(VLOOKUP(E62,'ATP - Keywords'!$C:$C,1,FALSE),"#N/A")</f>
        <v>large b cell lymphoma patient information</v>
      </c>
      <c r="G62" s="2" t="s">
        <v>131</v>
      </c>
      <c r="H62" s="2" t="s">
        <v>190</v>
      </c>
      <c r="I62" s="2" t="s">
        <v>81</v>
      </c>
      <c r="J62" s="2" t="str">
        <f>IFERROR(VLOOKUP(I62,'ATP - Keywords'!$E:$E,1,FALSE),"#N/A")</f>
        <v>https://www.columvi.com/resources/helpful-links.html</v>
      </c>
      <c r="K62" s="2" t="str">
        <f t="shared" si="0"/>
        <v>https://www.columvi.com/resources/helpful-links.html?c=gft-18903220006</v>
      </c>
      <c r="L62" s="2" t="b">
        <v>1</v>
      </c>
      <c r="M62" s="2" t="s">
        <v>3</v>
      </c>
    </row>
    <row r="63" spans="1:13" ht="15.75" customHeight="1" x14ac:dyDescent="0.3">
      <c r="A63" s="2" t="s">
        <v>47</v>
      </c>
      <c r="B63" s="2" t="s">
        <v>77</v>
      </c>
      <c r="C63" s="2" t="s">
        <v>78</v>
      </c>
      <c r="D63" s="2" t="str">
        <f>IFERROR(VLOOKUP(C63,'ATP - Keywords'!$B:$B,1,FALSE),"#N/A")</f>
        <v>Unbranded DLBCL Resources</v>
      </c>
      <c r="E63" s="2" t="s">
        <v>194</v>
      </c>
      <c r="F63" s="2" t="str">
        <f>IFERROR(VLOOKUP(E63,'ATP - Keywords'!$C:$C,1,FALSE),"#N/A")</f>
        <v>the large b-cell lymphoma</v>
      </c>
      <c r="G63" s="2" t="s">
        <v>131</v>
      </c>
      <c r="H63" s="2" t="s">
        <v>190</v>
      </c>
      <c r="I63" s="2" t="s">
        <v>81</v>
      </c>
      <c r="J63" s="2" t="str">
        <f>IFERROR(VLOOKUP(I63,'ATP - Keywords'!$E:$E,1,FALSE),"#N/A")</f>
        <v>https://www.columvi.com/resources/helpful-links.html</v>
      </c>
      <c r="K63" s="2" t="str">
        <f t="shared" si="0"/>
        <v>https://www.columvi.com/resources/helpful-links.html?c=gft-18903220006</v>
      </c>
      <c r="L63" s="2" t="b">
        <v>1</v>
      </c>
      <c r="M63" s="2" t="s">
        <v>3</v>
      </c>
    </row>
    <row r="64" spans="1:13" ht="15.75" customHeight="1" x14ac:dyDescent="0.3">
      <c r="A64" s="2" t="s">
        <v>47</v>
      </c>
      <c r="B64" s="2" t="s">
        <v>77</v>
      </c>
      <c r="C64" s="2" t="s">
        <v>78</v>
      </c>
      <c r="D64" s="2" t="str">
        <f>IFERROR(VLOOKUP(C64,'ATP - Keywords'!$B:$B,1,FALSE),"#N/A")</f>
        <v>Unbranded DLBCL Resources</v>
      </c>
      <c r="E64" s="2" t="s">
        <v>195</v>
      </c>
      <c r="F64" s="2" t="str">
        <f>IFERROR(VLOOKUP(E64,'ATP - Keywords'!$C:$C,1,FALSE),"#N/A")</f>
        <v>dlbcl resources</v>
      </c>
      <c r="G64" s="2" t="s">
        <v>131</v>
      </c>
      <c r="H64" s="2" t="s">
        <v>190</v>
      </c>
      <c r="I64" s="2" t="s">
        <v>81</v>
      </c>
      <c r="J64" s="2" t="str">
        <f>IFERROR(VLOOKUP(I64,'ATP - Keywords'!$E:$E,1,FALSE),"#N/A")</f>
        <v>https://www.columvi.com/resources/helpful-links.html</v>
      </c>
      <c r="K64" s="2" t="str">
        <f t="shared" si="0"/>
        <v>https://www.columvi.com/resources/helpful-links.html?c=gft-18903220006</v>
      </c>
      <c r="L64" s="2" t="b">
        <v>1</v>
      </c>
      <c r="M64" s="2" t="s">
        <v>3</v>
      </c>
    </row>
    <row r="65" spans="1:13" ht="15.75" customHeight="1" x14ac:dyDescent="0.3">
      <c r="A65" s="2" t="s">
        <v>47</v>
      </c>
      <c r="B65" s="2" t="s">
        <v>77</v>
      </c>
      <c r="C65" s="2" t="s">
        <v>78</v>
      </c>
      <c r="D65" s="2" t="str">
        <f>IFERROR(VLOOKUP(C65,'ATP - Keywords'!$B:$B,1,FALSE),"#N/A")</f>
        <v>Unbranded DLBCL Resources</v>
      </c>
      <c r="E65" s="2" t="s">
        <v>196</v>
      </c>
      <c r="F65" s="2" t="str">
        <f>IFERROR(VLOOKUP(E65,'ATP - Keywords'!$C:$C,1,FALSE),"#N/A")</f>
        <v>dlbcl resources for patients</v>
      </c>
      <c r="G65" s="2" t="s">
        <v>131</v>
      </c>
      <c r="H65" s="2" t="s">
        <v>190</v>
      </c>
      <c r="I65" s="2" t="s">
        <v>81</v>
      </c>
      <c r="J65" s="2" t="str">
        <f>IFERROR(VLOOKUP(I65,'ATP - Keywords'!$E:$E,1,FALSE),"#N/A")</f>
        <v>https://www.columvi.com/resources/helpful-links.html</v>
      </c>
      <c r="K65" s="2" t="str">
        <f t="shared" si="0"/>
        <v>https://www.columvi.com/resources/helpful-links.html?c=gft-18903220006</v>
      </c>
      <c r="L65" s="2" t="b">
        <v>1</v>
      </c>
      <c r="M65" s="2" t="s">
        <v>3</v>
      </c>
    </row>
    <row r="66" spans="1:13" ht="15.75" customHeight="1" x14ac:dyDescent="0.3">
      <c r="A66" s="2" t="s">
        <v>47</v>
      </c>
      <c r="B66" s="2" t="s">
        <v>77</v>
      </c>
      <c r="C66" s="2" t="s">
        <v>78</v>
      </c>
      <c r="D66" s="2" t="str">
        <f>IFERROR(VLOOKUP(C66,'ATP - Keywords'!$B:$B,1,FALSE),"#N/A")</f>
        <v>Unbranded DLBCL Resources</v>
      </c>
      <c r="E66" s="2" t="s">
        <v>197</v>
      </c>
      <c r="F66" s="2" t="str">
        <f>IFERROR(VLOOKUP(E66,'ATP - Keywords'!$C:$C,1,FALSE),"#N/A")</f>
        <v>patient resources diffuse large b cell lymphoma</v>
      </c>
      <c r="G66" s="2" t="s">
        <v>131</v>
      </c>
      <c r="H66" s="2" t="s">
        <v>190</v>
      </c>
      <c r="I66" s="2" t="s">
        <v>81</v>
      </c>
      <c r="J66" s="2" t="str">
        <f>IFERROR(VLOOKUP(I66,'ATP - Keywords'!$E:$E,1,FALSE),"#N/A")</f>
        <v>https://www.columvi.com/resources/helpful-links.html</v>
      </c>
      <c r="K66" s="2" t="str">
        <f t="shared" ref="K66:K129" si="1">CONCATENATE(J66,"?c=",M66)</f>
        <v>https://www.columvi.com/resources/helpful-links.html?c=gft-18903220006</v>
      </c>
      <c r="L66" s="2" t="b">
        <v>1</v>
      </c>
      <c r="M66" s="2" t="s">
        <v>3</v>
      </c>
    </row>
    <row r="67" spans="1:13" ht="15.75" customHeight="1" x14ac:dyDescent="0.3">
      <c r="A67" s="2" t="s">
        <v>47</v>
      </c>
      <c r="B67" s="2" t="s">
        <v>77</v>
      </c>
      <c r="C67" s="2" t="s">
        <v>78</v>
      </c>
      <c r="D67" s="2" t="str">
        <f>IFERROR(VLOOKUP(C67,'ATP - Keywords'!$B:$B,1,FALSE),"#N/A")</f>
        <v>Unbranded DLBCL Resources</v>
      </c>
      <c r="E67" s="2" t="s">
        <v>198</v>
      </c>
      <c r="F67" s="2" t="str">
        <f>IFERROR(VLOOKUP(E67,'ATP - Keywords'!$C:$C,1,FALSE),"#N/A")</f>
        <v>dlbcl caregiver resources</v>
      </c>
      <c r="G67" s="2" t="s">
        <v>131</v>
      </c>
      <c r="H67" s="2" t="s">
        <v>190</v>
      </c>
      <c r="I67" s="2" t="s">
        <v>81</v>
      </c>
      <c r="J67" s="2" t="str">
        <f>IFERROR(VLOOKUP(I67,'ATP - Keywords'!$E:$E,1,FALSE),"#N/A")</f>
        <v>https://www.columvi.com/resources/helpful-links.html</v>
      </c>
      <c r="K67" s="2" t="str">
        <f t="shared" si="1"/>
        <v>https://www.columvi.com/resources/helpful-links.html?c=gft-18903220006</v>
      </c>
      <c r="L67" s="2" t="b">
        <v>1</v>
      </c>
      <c r="M67" s="2" t="s">
        <v>3</v>
      </c>
    </row>
    <row r="68" spans="1:13" ht="15.75" customHeight="1" x14ac:dyDescent="0.3">
      <c r="A68" s="2" t="s">
        <v>47</v>
      </c>
      <c r="B68" s="2" t="s">
        <v>77</v>
      </c>
      <c r="C68" s="2" t="s">
        <v>78</v>
      </c>
      <c r="D68" s="2" t="str">
        <f>IFERROR(VLOOKUP(C68,'ATP - Keywords'!$B:$B,1,FALSE),"#N/A")</f>
        <v>Unbranded DLBCL Resources</v>
      </c>
      <c r="E68" s="2" t="s">
        <v>199</v>
      </c>
      <c r="F68" s="2" t="str">
        <f>IFERROR(VLOOKUP(E68,'ATP - Keywords'!$C:$C,1,FALSE),"#N/A")</f>
        <v>dlbcl resources for caregivers</v>
      </c>
      <c r="G68" s="2" t="s">
        <v>131</v>
      </c>
      <c r="H68" s="2" t="s">
        <v>190</v>
      </c>
      <c r="I68" s="2" t="s">
        <v>81</v>
      </c>
      <c r="J68" s="2" t="str">
        <f>IFERROR(VLOOKUP(I68,'ATP - Keywords'!$E:$E,1,FALSE),"#N/A")</f>
        <v>https://www.columvi.com/resources/helpful-links.html</v>
      </c>
      <c r="K68" s="2" t="str">
        <f t="shared" si="1"/>
        <v>https://www.columvi.com/resources/helpful-links.html?c=gft-18903220006</v>
      </c>
      <c r="L68" s="2" t="b">
        <v>1</v>
      </c>
      <c r="M68" s="2" t="s">
        <v>3</v>
      </c>
    </row>
    <row r="69" spans="1:13" ht="15.75" customHeight="1" x14ac:dyDescent="0.3">
      <c r="A69" s="2" t="s">
        <v>47</v>
      </c>
      <c r="B69" s="2" t="s">
        <v>77</v>
      </c>
      <c r="C69" s="2" t="s">
        <v>78</v>
      </c>
      <c r="D69" s="2" t="str">
        <f>IFERROR(VLOOKUP(C69,'ATP - Keywords'!$B:$B,1,FALSE),"#N/A")</f>
        <v>Unbranded DLBCL Resources</v>
      </c>
      <c r="E69" s="2" t="s">
        <v>200</v>
      </c>
      <c r="F69" s="2" t="str">
        <f>IFERROR(VLOOKUP(E69,'ATP - Keywords'!$C:$C,1,FALSE),"#N/A")</f>
        <v>dlbcl support</v>
      </c>
      <c r="G69" s="2" t="s">
        <v>131</v>
      </c>
      <c r="H69" s="2" t="s">
        <v>190</v>
      </c>
      <c r="I69" s="2" t="s">
        <v>81</v>
      </c>
      <c r="J69" s="2" t="str">
        <f>IFERROR(VLOOKUP(I69,'ATP - Keywords'!$E:$E,1,FALSE),"#N/A")</f>
        <v>https://www.columvi.com/resources/helpful-links.html</v>
      </c>
      <c r="K69" s="2" t="str">
        <f t="shared" si="1"/>
        <v>https://www.columvi.com/resources/helpful-links.html?c=gft-18903220006</v>
      </c>
      <c r="L69" s="2" t="b">
        <v>1</v>
      </c>
      <c r="M69" s="2" t="s">
        <v>3</v>
      </c>
    </row>
    <row r="70" spans="1:13" ht="15.75" customHeight="1" x14ac:dyDescent="0.3">
      <c r="A70" s="2" t="s">
        <v>47</v>
      </c>
      <c r="B70" s="2" t="s">
        <v>77</v>
      </c>
      <c r="C70" s="2" t="s">
        <v>78</v>
      </c>
      <c r="D70" s="2" t="str">
        <f>IFERROR(VLOOKUP(C70,'ATP - Keywords'!$B:$B,1,FALSE),"#N/A")</f>
        <v>Unbranded DLBCL Resources</v>
      </c>
      <c r="E70" s="2" t="s">
        <v>201</v>
      </c>
      <c r="F70" s="2" t="str">
        <f>IFERROR(VLOOKUP(E70,'ATP - Keywords'!$C:$C,1,FALSE),"#N/A")</f>
        <v>patient support dlbcl</v>
      </c>
      <c r="G70" s="2" t="s">
        <v>131</v>
      </c>
      <c r="H70" s="2" t="s">
        <v>190</v>
      </c>
      <c r="I70" s="2" t="s">
        <v>81</v>
      </c>
      <c r="J70" s="2" t="str">
        <f>IFERROR(VLOOKUP(I70,'ATP - Keywords'!$E:$E,1,FALSE),"#N/A")</f>
        <v>https://www.columvi.com/resources/helpful-links.html</v>
      </c>
      <c r="K70" s="2" t="str">
        <f t="shared" si="1"/>
        <v>https://www.columvi.com/resources/helpful-links.html?c=gft-18903220006</v>
      </c>
      <c r="L70" s="2" t="b">
        <v>1</v>
      </c>
      <c r="M70" s="2" t="s">
        <v>3</v>
      </c>
    </row>
    <row r="71" spans="1:13" ht="15.75" customHeight="1" x14ac:dyDescent="0.3">
      <c r="A71" s="2" t="s">
        <v>47</v>
      </c>
      <c r="B71" s="2" t="s">
        <v>77</v>
      </c>
      <c r="C71" s="2" t="s">
        <v>78</v>
      </c>
      <c r="D71" s="2" t="str">
        <f>IFERROR(VLOOKUP(C71,'ATP - Keywords'!$B:$B,1,FALSE),"#N/A")</f>
        <v>Unbranded DLBCL Resources</v>
      </c>
      <c r="E71" s="2" t="s">
        <v>202</v>
      </c>
      <c r="F71" s="2" t="str">
        <f>IFERROR(VLOOKUP(E71,'ATP - Keywords'!$C:$C,1,FALSE),"#N/A")</f>
        <v>downloadable resources for dlbcl</v>
      </c>
      <c r="G71" s="2" t="s">
        <v>131</v>
      </c>
      <c r="H71" s="2" t="s">
        <v>190</v>
      </c>
      <c r="I71" s="2" t="s">
        <v>81</v>
      </c>
      <c r="J71" s="2" t="str">
        <f>IFERROR(VLOOKUP(I71,'ATP - Keywords'!$E:$E,1,FALSE),"#N/A")</f>
        <v>https://www.columvi.com/resources/helpful-links.html</v>
      </c>
      <c r="K71" s="2" t="str">
        <f t="shared" si="1"/>
        <v>https://www.columvi.com/resources/helpful-links.html?c=gft-18903220006</v>
      </c>
      <c r="L71" s="2" t="b">
        <v>1</v>
      </c>
      <c r="M71" s="2" t="s">
        <v>3</v>
      </c>
    </row>
    <row r="72" spans="1:13" ht="15.75" customHeight="1" x14ac:dyDescent="0.3">
      <c r="A72" s="2" t="s">
        <v>47</v>
      </c>
      <c r="B72" s="2" t="s">
        <v>77</v>
      </c>
      <c r="C72" s="2" t="s">
        <v>78</v>
      </c>
      <c r="D72" s="2" t="str">
        <f>IFERROR(VLOOKUP(C72,'ATP - Keywords'!$B:$B,1,FALSE),"#N/A")</f>
        <v>Unbranded DLBCL Resources</v>
      </c>
      <c r="E72" s="2" t="s">
        <v>203</v>
      </c>
      <c r="F72" s="2" t="str">
        <f>IFERROR(VLOOKUP(E72,'ATP - Keywords'!$C:$C,1,FALSE),"#N/A")</f>
        <v>dlbcl brochure</v>
      </c>
      <c r="G72" s="2" t="s">
        <v>131</v>
      </c>
      <c r="H72" s="2" t="s">
        <v>190</v>
      </c>
      <c r="I72" s="2" t="s">
        <v>81</v>
      </c>
      <c r="J72" s="2" t="str">
        <f>IFERROR(VLOOKUP(I72,'ATP - Keywords'!$E:$E,1,FALSE),"#N/A")</f>
        <v>https://www.columvi.com/resources/helpful-links.html</v>
      </c>
      <c r="K72" s="2" t="str">
        <f t="shared" si="1"/>
        <v>https://www.columvi.com/resources/helpful-links.html?c=gft-18903220006</v>
      </c>
      <c r="L72" s="2" t="b">
        <v>1</v>
      </c>
      <c r="M72" s="2" t="s">
        <v>3</v>
      </c>
    </row>
    <row r="73" spans="1:13" ht="15.75" customHeight="1" x14ac:dyDescent="0.3">
      <c r="A73" s="2" t="s">
        <v>47</v>
      </c>
      <c r="B73" s="2" t="s">
        <v>77</v>
      </c>
      <c r="C73" s="2" t="s">
        <v>78</v>
      </c>
      <c r="D73" s="2" t="str">
        <f>IFERROR(VLOOKUP(C73,'ATP - Keywords'!$B:$B,1,FALSE),"#N/A")</f>
        <v>Unbranded DLBCL Resources</v>
      </c>
      <c r="E73" s="2" t="s">
        <v>204</v>
      </c>
      <c r="F73" s="2" t="str">
        <f>IFERROR(VLOOKUP(E73,'ATP - Keywords'!$C:$C,1,FALSE),"#N/A")</f>
        <v>dlbcl patient brochure</v>
      </c>
      <c r="G73" s="2" t="s">
        <v>131</v>
      </c>
      <c r="H73" s="2" t="s">
        <v>190</v>
      </c>
      <c r="I73" s="2" t="s">
        <v>81</v>
      </c>
      <c r="J73" s="2" t="str">
        <f>IFERROR(VLOOKUP(I73,'ATP - Keywords'!$E:$E,1,FALSE),"#N/A")</f>
        <v>https://www.columvi.com/resources/helpful-links.html</v>
      </c>
      <c r="K73" s="2" t="str">
        <f t="shared" si="1"/>
        <v>https://www.columvi.com/resources/helpful-links.html?c=gft-18903220006</v>
      </c>
      <c r="L73" s="2" t="b">
        <v>1</v>
      </c>
      <c r="M73" s="2" t="s">
        <v>3</v>
      </c>
    </row>
    <row r="74" spans="1:13" ht="15.75" customHeight="1" x14ac:dyDescent="0.3">
      <c r="A74" s="2" t="s">
        <v>47</v>
      </c>
      <c r="B74" s="2" t="s">
        <v>82</v>
      </c>
      <c r="C74" s="2" t="s">
        <v>83</v>
      </c>
      <c r="D74" s="2" t="str">
        <f>IFERROR(VLOOKUP(C74,'ATP - Keywords'!$B:$B,1,FALSE),"#N/A")</f>
        <v>Unbranded DLBCL Financial Support</v>
      </c>
      <c r="E74" s="2" t="s">
        <v>205</v>
      </c>
      <c r="F74" s="2" t="str">
        <f>IFERROR(VLOOKUP(E74,'ATP - Keywords'!$C:$C,1,FALSE),"#N/A")</f>
        <v>dlbcl financial support</v>
      </c>
      <c r="G74" s="2" t="s">
        <v>131</v>
      </c>
      <c r="H74" s="2" t="s">
        <v>206</v>
      </c>
      <c r="I74" s="2" t="s">
        <v>88</v>
      </c>
      <c r="J74" s="2" t="str">
        <f>IFERROR(VLOOKUP(I74,'ATP - Keywords'!$E:$E,1,FALSE),"#N/A")</f>
        <v>https://www.columvi.com/financial-support/assistance-options.html</v>
      </c>
      <c r="K74" s="2" t="str">
        <f t="shared" si="1"/>
        <v>https://www.columvi.com/financial-support/assistance-options.html?c=gft-18903220006</v>
      </c>
      <c r="L74" s="2" t="b">
        <v>1</v>
      </c>
      <c r="M74" s="2" t="s">
        <v>3</v>
      </c>
    </row>
    <row r="75" spans="1:13" ht="15.75" customHeight="1" x14ac:dyDescent="0.3">
      <c r="A75" s="2" t="s">
        <v>47</v>
      </c>
      <c r="B75" s="2" t="s">
        <v>82</v>
      </c>
      <c r="C75" s="2" t="s">
        <v>83</v>
      </c>
      <c r="D75" s="2" t="str">
        <f>IFERROR(VLOOKUP(C75,'ATP - Keywords'!$B:$B,1,FALSE),"#N/A")</f>
        <v>Unbranded DLBCL Financial Support</v>
      </c>
      <c r="E75" s="2" t="s">
        <v>207</v>
      </c>
      <c r="F75" s="2" t="str">
        <f>IFERROR(VLOOKUP(E75,'ATP - Keywords'!$C:$C,1,FALSE),"#N/A")</f>
        <v>dlbcl financial assistance</v>
      </c>
      <c r="G75" s="2" t="s">
        <v>131</v>
      </c>
      <c r="H75" s="2" t="s">
        <v>206</v>
      </c>
      <c r="I75" s="2" t="s">
        <v>88</v>
      </c>
      <c r="J75" s="2" t="str">
        <f>IFERROR(VLOOKUP(I75,'ATP - Keywords'!$E:$E,1,FALSE),"#N/A")</f>
        <v>https://www.columvi.com/financial-support/assistance-options.html</v>
      </c>
      <c r="K75" s="2" t="str">
        <f t="shared" si="1"/>
        <v>https://www.columvi.com/financial-support/assistance-options.html?c=gft-18903220006</v>
      </c>
      <c r="L75" s="2" t="b">
        <v>1</v>
      </c>
      <c r="M75" s="2" t="s">
        <v>3</v>
      </c>
    </row>
    <row r="76" spans="1:13" ht="15.75" customHeight="1" x14ac:dyDescent="0.3">
      <c r="A76" s="2" t="s">
        <v>47</v>
      </c>
      <c r="B76" s="2" t="s">
        <v>82</v>
      </c>
      <c r="C76" s="2" t="s">
        <v>83</v>
      </c>
      <c r="D76" s="2" t="str">
        <f>IFERROR(VLOOKUP(C76,'ATP - Keywords'!$B:$B,1,FALSE),"#N/A")</f>
        <v>Unbranded DLBCL Financial Support</v>
      </c>
      <c r="E76" s="2" t="s">
        <v>208</v>
      </c>
      <c r="F76" s="2" t="str">
        <f>IFERROR(VLOOKUP(E76,'ATP - Keywords'!$C:$C,1,FALSE),"#N/A")</f>
        <v>apply for financial support dlbcl treatment</v>
      </c>
      <c r="G76" s="2" t="s">
        <v>131</v>
      </c>
      <c r="H76" s="2" t="s">
        <v>206</v>
      </c>
      <c r="I76" s="2" t="s">
        <v>88</v>
      </c>
      <c r="J76" s="2" t="str">
        <f>IFERROR(VLOOKUP(I76,'ATP - Keywords'!$E:$E,1,FALSE),"#N/A")</f>
        <v>https://www.columvi.com/financial-support/assistance-options.html</v>
      </c>
      <c r="K76" s="2" t="str">
        <f t="shared" si="1"/>
        <v>https://www.columvi.com/financial-support/assistance-options.html?c=gft-18903220006</v>
      </c>
      <c r="L76" s="2" t="b">
        <v>1</v>
      </c>
      <c r="M76" s="2" t="s">
        <v>3</v>
      </c>
    </row>
    <row r="77" spans="1:13" ht="15.75" customHeight="1" x14ac:dyDescent="0.3">
      <c r="A77" s="2" t="s">
        <v>47</v>
      </c>
      <c r="B77" s="2" t="s">
        <v>82</v>
      </c>
      <c r="C77" s="2" t="s">
        <v>83</v>
      </c>
      <c r="D77" s="2" t="str">
        <f>IFERROR(VLOOKUP(C77,'ATP - Keywords'!$B:$B,1,FALSE),"#N/A")</f>
        <v>Unbranded DLBCL Financial Support</v>
      </c>
      <c r="E77" s="2" t="s">
        <v>209</v>
      </c>
      <c r="F77" s="2" t="str">
        <f>IFERROR(VLOOKUP(E77,'ATP - Keywords'!$C:$C,1,FALSE),"#N/A")</f>
        <v>diffuse large b cell lymphoma financial support</v>
      </c>
      <c r="G77" s="2" t="s">
        <v>131</v>
      </c>
      <c r="H77" s="2" t="s">
        <v>206</v>
      </c>
      <c r="I77" s="2" t="s">
        <v>88</v>
      </c>
      <c r="J77" s="2" t="str">
        <f>IFERROR(VLOOKUP(I77,'ATP - Keywords'!$E:$E,1,FALSE),"#N/A")</f>
        <v>https://www.columvi.com/financial-support/assistance-options.html</v>
      </c>
      <c r="K77" s="2" t="str">
        <f t="shared" si="1"/>
        <v>https://www.columvi.com/financial-support/assistance-options.html?c=gft-18903220006</v>
      </c>
      <c r="L77" s="2" t="b">
        <v>1</v>
      </c>
      <c r="M77" s="2" t="s">
        <v>3</v>
      </c>
    </row>
    <row r="78" spans="1:13" ht="15.75" customHeight="1" x14ac:dyDescent="0.3">
      <c r="A78" s="2" t="s">
        <v>47</v>
      </c>
      <c r="B78" s="2" t="s">
        <v>82</v>
      </c>
      <c r="C78" s="2" t="s">
        <v>83</v>
      </c>
      <c r="D78" s="2" t="str">
        <f>IFERROR(VLOOKUP(C78,'ATP - Keywords'!$B:$B,1,FALSE),"#N/A")</f>
        <v>Unbranded DLBCL Financial Support</v>
      </c>
      <c r="E78" s="2" t="s">
        <v>210</v>
      </c>
      <c r="F78" s="2" t="str">
        <f>IFERROR(VLOOKUP(E78,'ATP - Keywords'!$C:$C,1,FALSE),"#N/A")</f>
        <v>diffuse large b cell lymphoma financial assistance</v>
      </c>
      <c r="G78" s="2" t="s">
        <v>131</v>
      </c>
      <c r="H78" s="2" t="s">
        <v>206</v>
      </c>
      <c r="I78" s="2" t="s">
        <v>88</v>
      </c>
      <c r="J78" s="2" t="str">
        <f>IFERROR(VLOOKUP(I78,'ATP - Keywords'!$E:$E,1,FALSE),"#N/A")</f>
        <v>https://www.columvi.com/financial-support/assistance-options.html</v>
      </c>
      <c r="K78" s="2" t="str">
        <f t="shared" si="1"/>
        <v>https://www.columvi.com/financial-support/assistance-options.html?c=gft-18903220006</v>
      </c>
      <c r="L78" s="2" t="b">
        <v>1</v>
      </c>
      <c r="M78" s="2" t="s">
        <v>3</v>
      </c>
    </row>
    <row r="79" spans="1:13" ht="15.75" customHeight="1" x14ac:dyDescent="0.3">
      <c r="A79" s="5" t="s">
        <v>47</v>
      </c>
      <c r="B79" s="5" t="s">
        <v>89</v>
      </c>
      <c r="C79" s="5" t="s">
        <v>90</v>
      </c>
      <c r="D79" s="2" t="str">
        <f>IFERROR(VLOOKUP(C79,'ATP - Keywords'!$B:$B,1,FALSE),"#N/A")</f>
        <v>Unbranded DLBCL Results</v>
      </c>
      <c r="E79" s="5" t="s">
        <v>211</v>
      </c>
      <c r="F79" s="2" t="str">
        <f>IFERROR(VLOOKUP(E79,'ATP - Keywords'!$C:$C,1,FALSE),"#N/A")</f>
        <v>dlbcl results</v>
      </c>
      <c r="G79" s="5" t="s">
        <v>131</v>
      </c>
      <c r="H79" s="5" t="s">
        <v>212</v>
      </c>
      <c r="I79" s="5" t="s">
        <v>91</v>
      </c>
      <c r="J79" s="5" t="str">
        <f>IFERROR(VLOOKUP(I79,'ATP - Keywords'!$E:$E,1,FALSE),"#N/A")</f>
        <v>https://www.columvi.com/columvi-results/clinical-trial-results.html</v>
      </c>
      <c r="K79" s="5" t="str">
        <f t="shared" si="1"/>
        <v>https://www.columvi.com/columvi-results/clinical-trial-results.html?c=gft-18903220006</v>
      </c>
      <c r="L79" s="5" t="b">
        <v>1</v>
      </c>
      <c r="M79" s="5" t="s">
        <v>3</v>
      </c>
    </row>
    <row r="80" spans="1:13" ht="15.75" customHeight="1" x14ac:dyDescent="0.3">
      <c r="A80" s="5" t="s">
        <v>47</v>
      </c>
      <c r="B80" s="5" t="s">
        <v>89</v>
      </c>
      <c r="C80" s="5" t="s">
        <v>90</v>
      </c>
      <c r="D80" s="2" t="str">
        <f>IFERROR(VLOOKUP(C80,'ATP - Keywords'!$B:$B,1,FALSE),"#N/A")</f>
        <v>Unbranded DLBCL Results</v>
      </c>
      <c r="E80" s="5" t="s">
        <v>213</v>
      </c>
      <c r="F80" s="2" t="str">
        <f>IFERROR(VLOOKUP(E80,'ATP - Keywords'!$C:$C,1,FALSE),"#N/A")</f>
        <v>results for dlbcl</v>
      </c>
      <c r="G80" s="5" t="s">
        <v>131</v>
      </c>
      <c r="H80" s="5" t="s">
        <v>212</v>
      </c>
      <c r="I80" s="5" t="s">
        <v>91</v>
      </c>
      <c r="J80" s="5" t="str">
        <f>IFERROR(VLOOKUP(I80,'ATP - Keywords'!$E:$E,1,FALSE),"#N/A")</f>
        <v>https://www.columvi.com/columvi-results/clinical-trial-results.html</v>
      </c>
      <c r="K80" s="5" t="str">
        <f t="shared" si="1"/>
        <v>https://www.columvi.com/columvi-results/clinical-trial-results.html?c=gft-18903220006</v>
      </c>
      <c r="L80" s="5" t="b">
        <v>1</v>
      </c>
      <c r="M80" s="5" t="s">
        <v>3</v>
      </c>
    </row>
    <row r="81" spans="1:13" ht="15.75" customHeight="1" x14ac:dyDescent="0.3">
      <c r="A81" s="5" t="s">
        <v>47</v>
      </c>
      <c r="B81" s="5" t="s">
        <v>89</v>
      </c>
      <c r="C81" s="5" t="s">
        <v>90</v>
      </c>
      <c r="D81" s="2" t="str">
        <f>IFERROR(VLOOKUP(C81,'ATP - Keywords'!$B:$B,1,FALSE),"#N/A")</f>
        <v>Unbranded DLBCL Results</v>
      </c>
      <c r="E81" s="5" t="s">
        <v>214</v>
      </c>
      <c r="F81" s="2" t="str">
        <f>IFERROR(VLOOKUP(E81,'ATP - Keywords'!$C:$C,1,FALSE),"#N/A")</f>
        <v>large b cell lymphoma results</v>
      </c>
      <c r="G81" s="5" t="s">
        <v>131</v>
      </c>
      <c r="H81" s="5" t="s">
        <v>212</v>
      </c>
      <c r="I81" s="5" t="s">
        <v>91</v>
      </c>
      <c r="J81" s="5" t="str">
        <f>IFERROR(VLOOKUP(I81,'ATP - Keywords'!$E:$E,1,FALSE),"#N/A")</f>
        <v>https://www.columvi.com/columvi-results/clinical-trial-results.html</v>
      </c>
      <c r="K81" s="5" t="str">
        <f t="shared" si="1"/>
        <v>https://www.columvi.com/columvi-results/clinical-trial-results.html?c=gft-18903220006</v>
      </c>
      <c r="L81" s="5" t="b">
        <v>1</v>
      </c>
      <c r="M81" s="5" t="s">
        <v>3</v>
      </c>
    </row>
    <row r="82" spans="1:13" ht="15.75" customHeight="1" x14ac:dyDescent="0.3">
      <c r="A82" s="5" t="s">
        <v>47</v>
      </c>
      <c r="B82" s="5" t="s">
        <v>89</v>
      </c>
      <c r="C82" s="5" t="s">
        <v>90</v>
      </c>
      <c r="D82" s="2" t="str">
        <f>IFERROR(VLOOKUP(C82,'ATP - Keywords'!$B:$B,1,FALSE),"#N/A")</f>
        <v>Unbranded DLBCL Results</v>
      </c>
      <c r="E82" s="5" t="s">
        <v>215</v>
      </c>
      <c r="F82" s="2" t="str">
        <f>IFERROR(VLOOKUP(E82,'ATP - Keywords'!$C:$C,1,FALSE),"#N/A")</f>
        <v>results for large b cell lymphoma</v>
      </c>
      <c r="G82" s="5" t="s">
        <v>131</v>
      </c>
      <c r="H82" s="5" t="s">
        <v>212</v>
      </c>
      <c r="I82" s="5" t="s">
        <v>91</v>
      </c>
      <c r="J82" s="5" t="str">
        <f>IFERROR(VLOOKUP(I82,'ATP - Keywords'!$E:$E,1,FALSE),"#N/A")</f>
        <v>https://www.columvi.com/columvi-results/clinical-trial-results.html</v>
      </c>
      <c r="K82" s="5" t="str">
        <f t="shared" si="1"/>
        <v>https://www.columvi.com/columvi-results/clinical-trial-results.html?c=gft-18903220006</v>
      </c>
      <c r="L82" s="5" t="b">
        <v>1</v>
      </c>
      <c r="M82" s="5" t="s">
        <v>3</v>
      </c>
    </row>
    <row r="83" spans="1:13" ht="15.75" customHeight="1" x14ac:dyDescent="0.3">
      <c r="A83" s="5" t="s">
        <v>47</v>
      </c>
      <c r="B83" s="5" t="s">
        <v>89</v>
      </c>
      <c r="C83" s="5" t="s">
        <v>90</v>
      </c>
      <c r="D83" s="2" t="str">
        <f>IFERROR(VLOOKUP(C83,'ATP - Keywords'!$B:$B,1,FALSE),"#N/A")</f>
        <v>Unbranded DLBCL Results</v>
      </c>
      <c r="E83" s="5" t="s">
        <v>216</v>
      </c>
      <c r="F83" s="2" t="str">
        <f>IFERROR(VLOOKUP(E83,'ATP - Keywords'!$C:$C,1,FALSE),"#N/A")</f>
        <v>relapsed refractory large b cell lymphoma results</v>
      </c>
      <c r="G83" s="5" t="s">
        <v>131</v>
      </c>
      <c r="H83" s="5" t="s">
        <v>212</v>
      </c>
      <c r="I83" s="5" t="s">
        <v>91</v>
      </c>
      <c r="J83" s="5" t="str">
        <f>IFERROR(VLOOKUP(I83,'ATP - Keywords'!$E:$E,1,FALSE),"#N/A")</f>
        <v>https://www.columvi.com/columvi-results/clinical-trial-results.html</v>
      </c>
      <c r="K83" s="5" t="str">
        <f t="shared" si="1"/>
        <v>https://www.columvi.com/columvi-results/clinical-trial-results.html?c=gft-18903220006</v>
      </c>
      <c r="L83" s="5" t="b">
        <v>1</v>
      </c>
      <c r="M83" s="5" t="s">
        <v>3</v>
      </c>
    </row>
    <row r="84" spans="1:13" ht="15.75" customHeight="1" x14ac:dyDescent="0.3">
      <c r="A84" s="5" t="s">
        <v>47</v>
      </c>
      <c r="B84" s="5" t="s">
        <v>89</v>
      </c>
      <c r="C84" s="5" t="s">
        <v>90</v>
      </c>
      <c r="D84" s="2" t="str">
        <f>IFERROR(VLOOKUP(C84,'ATP - Keywords'!$B:$B,1,FALSE),"#N/A")</f>
        <v>Unbranded DLBCL Results</v>
      </c>
      <c r="E84" s="5" t="s">
        <v>217</v>
      </c>
      <c r="F84" s="2" t="str">
        <f>IFERROR(VLOOKUP(E84,'ATP - Keywords'!$C:$C,1,FALSE),"#N/A")</f>
        <v>results for relapsed refractory large b cell lymphoma</v>
      </c>
      <c r="G84" s="5" t="s">
        <v>131</v>
      </c>
      <c r="H84" s="5" t="s">
        <v>212</v>
      </c>
      <c r="I84" s="5" t="s">
        <v>91</v>
      </c>
      <c r="J84" s="5" t="str">
        <f>IFERROR(VLOOKUP(I84,'ATP - Keywords'!$E:$E,1,FALSE),"#N/A")</f>
        <v>https://www.columvi.com/columvi-results/clinical-trial-results.html</v>
      </c>
      <c r="K84" s="5" t="str">
        <f t="shared" si="1"/>
        <v>https://www.columvi.com/columvi-results/clinical-trial-results.html?c=gft-18903220006</v>
      </c>
      <c r="L84" s="5" t="b">
        <v>1</v>
      </c>
      <c r="M84" s="5" t="s">
        <v>3</v>
      </c>
    </row>
    <row r="85" spans="1:13" ht="15.75" customHeight="1" x14ac:dyDescent="0.3">
      <c r="A85" s="5" t="s">
        <v>47</v>
      </c>
      <c r="B85" s="5" t="s">
        <v>89</v>
      </c>
      <c r="C85" s="5" t="s">
        <v>90</v>
      </c>
      <c r="D85" s="2" t="str">
        <f>IFERROR(VLOOKUP(C85,'ATP - Keywords'!$B:$B,1,FALSE),"#N/A")</f>
        <v>Unbranded DLBCL Results</v>
      </c>
      <c r="E85" s="5" t="s">
        <v>218</v>
      </c>
      <c r="F85" s="2" t="str">
        <f>IFERROR(VLOOKUP(E85,'ATP - Keywords'!$C:$C,1,FALSE),"#N/A")</f>
        <v>dlbcl clinical results</v>
      </c>
      <c r="G85" s="5" t="s">
        <v>131</v>
      </c>
      <c r="H85" s="5" t="s">
        <v>212</v>
      </c>
      <c r="I85" s="5" t="s">
        <v>91</v>
      </c>
      <c r="J85" s="5" t="str">
        <f>IFERROR(VLOOKUP(I85,'ATP - Keywords'!$E:$E,1,FALSE),"#N/A")</f>
        <v>https://www.columvi.com/columvi-results/clinical-trial-results.html</v>
      </c>
      <c r="K85" s="5" t="str">
        <f t="shared" si="1"/>
        <v>https://www.columvi.com/columvi-results/clinical-trial-results.html?c=gft-18903220006</v>
      </c>
      <c r="L85" s="5" t="b">
        <v>1</v>
      </c>
      <c r="M85" s="5" t="s">
        <v>3</v>
      </c>
    </row>
    <row r="86" spans="1:13" ht="15.75" customHeight="1" x14ac:dyDescent="0.3">
      <c r="A86" s="5" t="s">
        <v>47</v>
      </c>
      <c r="B86" s="5" t="s">
        <v>89</v>
      </c>
      <c r="C86" s="5" t="s">
        <v>90</v>
      </c>
      <c r="D86" s="2" t="str">
        <f>IFERROR(VLOOKUP(C86,'ATP - Keywords'!$B:$B,1,FALSE),"#N/A")</f>
        <v>Unbranded DLBCL Results</v>
      </c>
      <c r="E86" s="5" t="s">
        <v>219</v>
      </c>
      <c r="F86" s="2" t="str">
        <f>IFERROR(VLOOKUP(E86,'ATP - Keywords'!$C:$C,1,FALSE),"#N/A")</f>
        <v>dlbcl clinical trial data</v>
      </c>
      <c r="G86" s="5" t="s">
        <v>131</v>
      </c>
      <c r="H86" s="5" t="s">
        <v>212</v>
      </c>
      <c r="I86" s="5" t="s">
        <v>91</v>
      </c>
      <c r="J86" s="5" t="str">
        <f>IFERROR(VLOOKUP(I86,'ATP - Keywords'!$E:$E,1,FALSE),"#N/A")</f>
        <v>https://www.columvi.com/columvi-results/clinical-trial-results.html</v>
      </c>
      <c r="K86" s="5" t="str">
        <f t="shared" si="1"/>
        <v>https://www.columvi.com/columvi-results/clinical-trial-results.html?c=gft-18903220006</v>
      </c>
      <c r="L86" s="5" t="b">
        <v>1</v>
      </c>
      <c r="M86" s="5" t="s">
        <v>3</v>
      </c>
    </row>
    <row r="87" spans="1:13" ht="15.75" customHeight="1" x14ac:dyDescent="0.3">
      <c r="A87" s="5" t="s">
        <v>47</v>
      </c>
      <c r="B87" s="5" t="s">
        <v>89</v>
      </c>
      <c r="C87" s="5" t="s">
        <v>90</v>
      </c>
      <c r="D87" s="2" t="str">
        <f>IFERROR(VLOOKUP(C87,'ATP - Keywords'!$B:$B,1,FALSE),"#N/A")</f>
        <v>Unbranded DLBCL Results</v>
      </c>
      <c r="E87" s="5" t="s">
        <v>220</v>
      </c>
      <c r="F87" s="2" t="str">
        <f>IFERROR(VLOOKUP(E87,'ATP - Keywords'!$C:$C,1,FALSE),"#N/A")</f>
        <v>diffuse large b cell lymphoma clinical trials</v>
      </c>
      <c r="G87" s="5" t="s">
        <v>131</v>
      </c>
      <c r="H87" s="5" t="s">
        <v>212</v>
      </c>
      <c r="I87" s="5" t="s">
        <v>91</v>
      </c>
      <c r="J87" s="5" t="str">
        <f>IFERROR(VLOOKUP(I87,'ATP - Keywords'!$E:$E,1,FALSE),"#N/A")</f>
        <v>https://www.columvi.com/columvi-results/clinical-trial-results.html</v>
      </c>
      <c r="K87" s="5" t="str">
        <f t="shared" si="1"/>
        <v>https://www.columvi.com/columvi-results/clinical-trial-results.html?c=gft-18903220006</v>
      </c>
      <c r="L87" s="5" t="b">
        <v>1</v>
      </c>
      <c r="M87" s="5" t="s">
        <v>3</v>
      </c>
    </row>
    <row r="88" spans="1:13" ht="15.75" customHeight="1" x14ac:dyDescent="0.3">
      <c r="A88" s="5" t="s">
        <v>47</v>
      </c>
      <c r="B88" s="5" t="s">
        <v>89</v>
      </c>
      <c r="C88" s="5" t="s">
        <v>90</v>
      </c>
      <c r="D88" s="2" t="str">
        <f>IFERROR(VLOOKUP(C88,'ATP - Keywords'!$B:$B,1,FALSE),"#N/A")</f>
        <v>Unbranded DLBCL Results</v>
      </c>
      <c r="E88" s="5" t="s">
        <v>221</v>
      </c>
      <c r="F88" s="2" t="str">
        <f>IFERROR(VLOOKUP(E88,'ATP - Keywords'!$C:$C,1,FALSE),"#N/A")</f>
        <v>dlbcl clinical studies</v>
      </c>
      <c r="G88" s="5" t="s">
        <v>131</v>
      </c>
      <c r="H88" s="5" t="s">
        <v>212</v>
      </c>
      <c r="I88" s="5" t="s">
        <v>91</v>
      </c>
      <c r="J88" s="5" t="str">
        <f>IFERROR(VLOOKUP(I88,'ATP - Keywords'!$E:$E,1,FALSE),"#N/A")</f>
        <v>https://www.columvi.com/columvi-results/clinical-trial-results.html</v>
      </c>
      <c r="K88" s="5" t="str">
        <f t="shared" si="1"/>
        <v>https://www.columvi.com/columvi-results/clinical-trial-results.html?c=gft-18903220006</v>
      </c>
      <c r="L88" s="5" t="b">
        <v>1</v>
      </c>
      <c r="M88" s="5" t="s">
        <v>3</v>
      </c>
    </row>
    <row r="89" spans="1:13" ht="15.75" customHeight="1" x14ac:dyDescent="0.3">
      <c r="A89" s="2" t="s">
        <v>93</v>
      </c>
      <c r="B89" s="2" t="s">
        <v>94</v>
      </c>
      <c r="C89" s="2" t="s">
        <v>95</v>
      </c>
      <c r="D89" s="2" t="str">
        <f>IFERROR(VLOOKUP(C89,'ATP - Keywords'!$B:$B,1,FALSE),"#N/A")</f>
        <v>Unbranded DLBCL Developments</v>
      </c>
      <c r="E89" s="2" t="s">
        <v>222</v>
      </c>
      <c r="F89" s="2" t="str">
        <f>IFERROR(VLOOKUP(E89,'ATP - Keywords'!$C:$C,1,FALSE),"#N/A")</f>
        <v>latest developments in dlbcl</v>
      </c>
      <c r="G89" s="2" t="s">
        <v>131</v>
      </c>
      <c r="H89" s="2" t="s">
        <v>223</v>
      </c>
      <c r="I89" s="2" t="s">
        <v>96</v>
      </c>
      <c r="J89" s="2" t="str">
        <f>IFERROR(VLOOKUP(I89,'ATP - Keywords'!$E:$E,1,FALSE),"#N/A")</f>
        <v>https://www.columvi.com/about-columvi/how-it-works.html</v>
      </c>
      <c r="K89" s="2" t="str">
        <f t="shared" si="1"/>
        <v>https://www.columvi.com/about-columvi/how-it-works.html?c=gft-18903220006</v>
      </c>
      <c r="L89" s="2" t="b">
        <v>1</v>
      </c>
      <c r="M89" s="2" t="s">
        <v>3</v>
      </c>
    </row>
    <row r="90" spans="1:13" ht="15.75" customHeight="1" x14ac:dyDescent="0.3">
      <c r="A90" s="2" t="s">
        <v>93</v>
      </c>
      <c r="B90" s="2" t="s">
        <v>94</v>
      </c>
      <c r="C90" s="2" t="s">
        <v>95</v>
      </c>
      <c r="D90" s="2" t="str">
        <f>IFERROR(VLOOKUP(C90,'ATP - Keywords'!$B:$B,1,FALSE),"#N/A")</f>
        <v>Unbranded DLBCL Developments</v>
      </c>
      <c r="E90" s="2" t="s">
        <v>224</v>
      </c>
      <c r="F90" s="2" t="str">
        <f>IFERROR(VLOOKUP(E90,'ATP - Keywords'!$C:$C,1,FALSE),"#N/A")</f>
        <v>dlbcl latest developments</v>
      </c>
      <c r="G90" s="2" t="s">
        <v>131</v>
      </c>
      <c r="H90" s="2" t="s">
        <v>223</v>
      </c>
      <c r="I90" s="2" t="s">
        <v>96</v>
      </c>
      <c r="J90" s="2" t="str">
        <f>IFERROR(VLOOKUP(I90,'ATP - Keywords'!$E:$E,1,FALSE),"#N/A")</f>
        <v>https://www.columvi.com/about-columvi/how-it-works.html</v>
      </c>
      <c r="K90" s="2" t="str">
        <f t="shared" si="1"/>
        <v>https://www.columvi.com/about-columvi/how-it-works.html?c=gft-18903220006</v>
      </c>
      <c r="L90" s="2" t="b">
        <v>1</v>
      </c>
      <c r="M90" s="2" t="s">
        <v>3</v>
      </c>
    </row>
    <row r="91" spans="1:13" ht="15.75" customHeight="1" x14ac:dyDescent="0.3">
      <c r="A91" s="2" t="s">
        <v>93</v>
      </c>
      <c r="B91" s="2" t="s">
        <v>94</v>
      </c>
      <c r="C91" s="2" t="s">
        <v>95</v>
      </c>
      <c r="D91" s="2" t="str">
        <f>IFERROR(VLOOKUP(C91,'ATP - Keywords'!$B:$B,1,FALSE),"#N/A")</f>
        <v>Unbranded DLBCL Developments</v>
      </c>
      <c r="E91" s="2" t="s">
        <v>225</v>
      </c>
      <c r="F91" s="2" t="str">
        <f>IFERROR(VLOOKUP(E91,'ATP - Keywords'!$C:$C,1,FALSE),"#N/A")</f>
        <v>latest developments in diffuse large b cell lymphoma</v>
      </c>
      <c r="G91" s="2" t="s">
        <v>131</v>
      </c>
      <c r="H91" s="2" t="s">
        <v>223</v>
      </c>
      <c r="I91" s="2" t="s">
        <v>96</v>
      </c>
      <c r="J91" s="2" t="str">
        <f>IFERROR(VLOOKUP(I91,'ATP - Keywords'!$E:$E,1,FALSE),"#N/A")</f>
        <v>https://www.columvi.com/about-columvi/how-it-works.html</v>
      </c>
      <c r="K91" s="2" t="str">
        <f t="shared" si="1"/>
        <v>https://www.columvi.com/about-columvi/how-it-works.html?c=gft-18903220006</v>
      </c>
      <c r="L91" s="2" t="b">
        <v>1</v>
      </c>
      <c r="M91" s="2" t="s">
        <v>3</v>
      </c>
    </row>
    <row r="92" spans="1:13" ht="15.75" customHeight="1" x14ac:dyDescent="0.3">
      <c r="A92" s="2" t="s">
        <v>93</v>
      </c>
      <c r="B92" s="2" t="s">
        <v>94</v>
      </c>
      <c r="C92" s="2" t="s">
        <v>95</v>
      </c>
      <c r="D92" s="2" t="str">
        <f>IFERROR(VLOOKUP(C92,'ATP - Keywords'!$B:$B,1,FALSE),"#N/A")</f>
        <v>Unbranded DLBCL Developments</v>
      </c>
      <c r="E92" s="2" t="s">
        <v>226</v>
      </c>
      <c r="F92" s="2" t="str">
        <f>IFERROR(VLOOKUP(E92,'ATP - Keywords'!$C:$C,1,FALSE),"#N/A")</f>
        <v>diffuse large b cell lymphoma latest developments</v>
      </c>
      <c r="G92" s="2" t="s">
        <v>131</v>
      </c>
      <c r="H92" s="2" t="s">
        <v>223</v>
      </c>
      <c r="I92" s="2" t="s">
        <v>96</v>
      </c>
      <c r="J92" s="2" t="str">
        <f>IFERROR(VLOOKUP(I92,'ATP - Keywords'!$E:$E,1,FALSE),"#N/A")</f>
        <v>https://www.columvi.com/about-columvi/how-it-works.html</v>
      </c>
      <c r="K92" s="2" t="str">
        <f t="shared" si="1"/>
        <v>https://www.columvi.com/about-columvi/how-it-works.html?c=gft-18903220006</v>
      </c>
      <c r="L92" s="2" t="b">
        <v>1</v>
      </c>
      <c r="M92" s="2" t="s">
        <v>3</v>
      </c>
    </row>
    <row r="93" spans="1:13" ht="15.75" customHeight="1" x14ac:dyDescent="0.3">
      <c r="A93" s="5" t="s">
        <v>93</v>
      </c>
      <c r="B93" s="5" t="s">
        <v>97</v>
      </c>
      <c r="C93" s="5" t="s">
        <v>98</v>
      </c>
      <c r="D93" s="2" t="str">
        <f>IFERROR(VLOOKUP(C93,'ATP - Keywords'!$B:$B,1,FALSE),"#N/A")</f>
        <v>Unbranded DLBCL Treatment</v>
      </c>
      <c r="E93" s="5" t="s">
        <v>227</v>
      </c>
      <c r="F93" s="2" t="str">
        <f>IFERROR(VLOOKUP(E93,'ATP - Keywords'!$C:$C,1,FALSE),"#N/A")</f>
        <v>dlbcl treatment</v>
      </c>
      <c r="G93" s="5" t="s">
        <v>131</v>
      </c>
      <c r="H93" s="5" t="s">
        <v>228</v>
      </c>
      <c r="I93" s="5" t="s">
        <v>101</v>
      </c>
      <c r="J93" s="5" t="str">
        <f>IFERROR(VLOOKUP(I93,'ATP - Keywords'!$E:$E,1,FALSE),"#N/A")</f>
        <v>https://www.columvi.com/about/treatment-goals-for-3l-dlbcl.html</v>
      </c>
      <c r="K93" s="5" t="str">
        <f t="shared" si="1"/>
        <v>https://www.columvi.com/about/treatment-goals-for-3l-dlbcl.html?c=gft-18903220006</v>
      </c>
      <c r="L93" s="5" t="b">
        <v>1</v>
      </c>
      <c r="M93" s="5" t="s">
        <v>3</v>
      </c>
    </row>
    <row r="94" spans="1:13" ht="15.75" customHeight="1" x14ac:dyDescent="0.3">
      <c r="A94" s="5" t="s">
        <v>93</v>
      </c>
      <c r="B94" s="5" t="s">
        <v>97</v>
      </c>
      <c r="C94" s="5" t="s">
        <v>98</v>
      </c>
      <c r="D94" s="2" t="str">
        <f>IFERROR(VLOOKUP(C94,'ATP - Keywords'!$B:$B,1,FALSE),"#N/A")</f>
        <v>Unbranded DLBCL Treatment</v>
      </c>
      <c r="E94" s="5" t="s">
        <v>229</v>
      </c>
      <c r="F94" s="2" t="str">
        <f>IFERROR(VLOOKUP(E94,'ATP - Keywords'!$C:$C,1,FALSE),"#N/A")</f>
        <v>dlbcl treatment options</v>
      </c>
      <c r="G94" s="5" t="s">
        <v>131</v>
      </c>
      <c r="H94" s="5" t="s">
        <v>228</v>
      </c>
      <c r="I94" s="5" t="s">
        <v>101</v>
      </c>
      <c r="J94" s="5" t="str">
        <f>IFERROR(VLOOKUP(I94,'ATP - Keywords'!$E:$E,1,FALSE),"#N/A")</f>
        <v>https://www.columvi.com/about/treatment-goals-for-3l-dlbcl.html</v>
      </c>
      <c r="K94" s="5" t="str">
        <f t="shared" si="1"/>
        <v>https://www.columvi.com/about/treatment-goals-for-3l-dlbcl.html?c=gft-18903220006</v>
      </c>
      <c r="L94" s="5" t="b">
        <v>1</v>
      </c>
      <c r="M94" s="5" t="s">
        <v>3</v>
      </c>
    </row>
    <row r="95" spans="1:13" ht="15.75" customHeight="1" x14ac:dyDescent="0.3">
      <c r="A95" s="5" t="s">
        <v>93</v>
      </c>
      <c r="B95" s="5" t="s">
        <v>97</v>
      </c>
      <c r="C95" s="5" t="s">
        <v>98</v>
      </c>
      <c r="D95" s="2" t="str">
        <f>IFERROR(VLOOKUP(C95,'ATP - Keywords'!$B:$B,1,FALSE),"#N/A")</f>
        <v>Unbranded DLBCL Treatment</v>
      </c>
      <c r="E95" s="5" t="s">
        <v>230</v>
      </c>
      <c r="F95" s="2" t="str">
        <f>IFERROR(VLOOKUP(E95,'ATP - Keywords'!$C:$C,1,FALSE),"#N/A")</f>
        <v>treating dlbcl</v>
      </c>
      <c r="G95" s="5" t="s">
        <v>131</v>
      </c>
      <c r="H95" s="5" t="s">
        <v>228</v>
      </c>
      <c r="I95" s="5" t="s">
        <v>101</v>
      </c>
      <c r="J95" s="5" t="str">
        <f>IFERROR(VLOOKUP(I95,'ATP - Keywords'!$E:$E,1,FALSE),"#N/A")</f>
        <v>https://www.columvi.com/about/treatment-goals-for-3l-dlbcl.html</v>
      </c>
      <c r="K95" s="5" t="str">
        <f t="shared" si="1"/>
        <v>https://www.columvi.com/about/treatment-goals-for-3l-dlbcl.html?c=gft-18903220006</v>
      </c>
      <c r="L95" s="5" t="b">
        <v>1</v>
      </c>
      <c r="M95" s="5" t="s">
        <v>3</v>
      </c>
    </row>
    <row r="96" spans="1:13" ht="15.75" customHeight="1" x14ac:dyDescent="0.3">
      <c r="A96" s="5" t="s">
        <v>93</v>
      </c>
      <c r="B96" s="5" t="s">
        <v>97</v>
      </c>
      <c r="C96" s="5" t="s">
        <v>98</v>
      </c>
      <c r="D96" s="2" t="str">
        <f>IFERROR(VLOOKUP(C96,'ATP - Keywords'!$B:$B,1,FALSE),"#N/A")</f>
        <v>Unbranded DLBCL Treatment</v>
      </c>
      <c r="E96" s="5" t="s">
        <v>231</v>
      </c>
      <c r="F96" s="2" t="str">
        <f>IFERROR(VLOOKUP(E96,'ATP - Keywords'!$C:$C,1,FALSE),"#N/A")</f>
        <v>how to treat dlbcl</v>
      </c>
      <c r="G96" s="5" t="s">
        <v>131</v>
      </c>
      <c r="H96" s="5" t="s">
        <v>228</v>
      </c>
      <c r="I96" s="5" t="s">
        <v>101</v>
      </c>
      <c r="J96" s="5" t="str">
        <f>IFERROR(VLOOKUP(I96,'ATP - Keywords'!$E:$E,1,FALSE),"#N/A")</f>
        <v>https://www.columvi.com/about/treatment-goals-for-3l-dlbcl.html</v>
      </c>
      <c r="K96" s="5" t="str">
        <f t="shared" si="1"/>
        <v>https://www.columvi.com/about/treatment-goals-for-3l-dlbcl.html?c=gft-18903220006</v>
      </c>
      <c r="L96" s="5" t="b">
        <v>1</v>
      </c>
      <c r="M96" s="5" t="s">
        <v>3</v>
      </c>
    </row>
    <row r="97" spans="1:13" ht="15.75" customHeight="1" x14ac:dyDescent="0.3">
      <c r="A97" s="5" t="s">
        <v>93</v>
      </c>
      <c r="B97" s="5" t="s">
        <v>97</v>
      </c>
      <c r="C97" s="5" t="s">
        <v>98</v>
      </c>
      <c r="D97" s="2" t="str">
        <f>IFERROR(VLOOKUP(C97,'ATP - Keywords'!$B:$B,1,FALSE),"#N/A")</f>
        <v>Unbranded DLBCL Treatment</v>
      </c>
      <c r="E97" s="5" t="s">
        <v>232</v>
      </c>
      <c r="F97" s="2" t="str">
        <f>IFERROR(VLOOKUP(E97,'ATP - Keywords'!$C:$C,1,FALSE),"#N/A")</f>
        <v>treatments for dlbcl</v>
      </c>
      <c r="G97" s="5" t="s">
        <v>131</v>
      </c>
      <c r="H97" s="5" t="s">
        <v>228</v>
      </c>
      <c r="I97" s="5" t="s">
        <v>101</v>
      </c>
      <c r="J97" s="5" t="str">
        <f>IFERROR(VLOOKUP(I97,'ATP - Keywords'!$E:$E,1,FALSE),"#N/A")</f>
        <v>https://www.columvi.com/about/treatment-goals-for-3l-dlbcl.html</v>
      </c>
      <c r="K97" s="5" t="str">
        <f t="shared" si="1"/>
        <v>https://www.columvi.com/about/treatment-goals-for-3l-dlbcl.html?c=gft-18903220006</v>
      </c>
      <c r="L97" s="5" t="b">
        <v>1</v>
      </c>
      <c r="M97" s="5" t="s">
        <v>3</v>
      </c>
    </row>
    <row r="98" spans="1:13" ht="15.75" customHeight="1" x14ac:dyDescent="0.3">
      <c r="A98" s="5" t="s">
        <v>93</v>
      </c>
      <c r="B98" s="5" t="s">
        <v>97</v>
      </c>
      <c r="C98" s="5" t="s">
        <v>98</v>
      </c>
      <c r="D98" s="2" t="str">
        <f>IFERROR(VLOOKUP(C98,'ATP - Keywords'!$B:$B,1,FALSE),"#N/A")</f>
        <v>Unbranded DLBCL Treatment</v>
      </c>
      <c r="E98" s="5" t="s">
        <v>233</v>
      </c>
      <c r="F98" s="2" t="str">
        <f>IFERROR(VLOOKUP(E98,'ATP - Keywords'!$C:$C,1,FALSE),"#N/A")</f>
        <v>treat dlbcl</v>
      </c>
      <c r="G98" s="5" t="s">
        <v>131</v>
      </c>
      <c r="H98" s="5" t="s">
        <v>228</v>
      </c>
      <c r="I98" s="5" t="s">
        <v>101</v>
      </c>
      <c r="J98" s="5" t="str">
        <f>IFERROR(VLOOKUP(I98,'ATP - Keywords'!$E:$E,1,FALSE),"#N/A")</f>
        <v>https://www.columvi.com/about/treatment-goals-for-3l-dlbcl.html</v>
      </c>
      <c r="K98" s="5" t="str">
        <f t="shared" si="1"/>
        <v>https://www.columvi.com/about/treatment-goals-for-3l-dlbcl.html?c=gft-18903220006</v>
      </c>
      <c r="L98" s="5" t="b">
        <v>1</v>
      </c>
      <c r="M98" s="5" t="s">
        <v>3</v>
      </c>
    </row>
    <row r="99" spans="1:13" ht="15.75" customHeight="1" x14ac:dyDescent="0.3">
      <c r="A99" s="5" t="s">
        <v>93</v>
      </c>
      <c r="B99" s="5" t="s">
        <v>97</v>
      </c>
      <c r="C99" s="5" t="s">
        <v>98</v>
      </c>
      <c r="D99" s="2" t="str">
        <f>IFERROR(VLOOKUP(C99,'ATP - Keywords'!$B:$B,1,FALSE),"#N/A")</f>
        <v>Unbranded DLBCL Treatment</v>
      </c>
      <c r="E99" s="5" t="s">
        <v>234</v>
      </c>
      <c r="F99" s="2" t="str">
        <f>IFERROR(VLOOKUP(E99,'ATP - Keywords'!$C:$C,1,FALSE),"#N/A")</f>
        <v>diffuse large b cell lymphoma treatment</v>
      </c>
      <c r="G99" s="5" t="s">
        <v>131</v>
      </c>
      <c r="H99" s="5" t="s">
        <v>228</v>
      </c>
      <c r="I99" s="5" t="s">
        <v>101</v>
      </c>
      <c r="J99" s="5" t="str">
        <f>IFERROR(VLOOKUP(I99,'ATP - Keywords'!$E:$E,1,FALSE),"#N/A")</f>
        <v>https://www.columvi.com/about/treatment-goals-for-3l-dlbcl.html</v>
      </c>
      <c r="K99" s="5" t="str">
        <f t="shared" si="1"/>
        <v>https://www.columvi.com/about/treatment-goals-for-3l-dlbcl.html?c=gft-18903220006</v>
      </c>
      <c r="L99" s="5" t="b">
        <v>1</v>
      </c>
      <c r="M99" s="5" t="s">
        <v>3</v>
      </c>
    </row>
    <row r="100" spans="1:13" ht="15.75" customHeight="1" x14ac:dyDescent="0.3">
      <c r="A100" s="5" t="s">
        <v>93</v>
      </c>
      <c r="B100" s="5" t="s">
        <v>97</v>
      </c>
      <c r="C100" s="5" t="s">
        <v>98</v>
      </c>
      <c r="D100" s="2" t="str">
        <f>IFERROR(VLOOKUP(C100,'ATP - Keywords'!$B:$B,1,FALSE),"#N/A")</f>
        <v>Unbranded DLBCL Treatment</v>
      </c>
      <c r="E100" s="5" t="s">
        <v>235</v>
      </c>
      <c r="F100" s="2" t="str">
        <f>IFERROR(VLOOKUP(E100,'ATP - Keywords'!$C:$C,1,FALSE),"#N/A")</f>
        <v>treatment for diffuse large b cell lymphoma</v>
      </c>
      <c r="G100" s="5" t="s">
        <v>131</v>
      </c>
      <c r="H100" s="5" t="s">
        <v>228</v>
      </c>
      <c r="I100" s="5" t="s">
        <v>101</v>
      </c>
      <c r="J100" s="5" t="str">
        <f>IFERROR(VLOOKUP(I100,'ATP - Keywords'!$E:$E,1,FALSE),"#N/A")</f>
        <v>https://www.columvi.com/about/treatment-goals-for-3l-dlbcl.html</v>
      </c>
      <c r="K100" s="5" t="str">
        <f t="shared" si="1"/>
        <v>https://www.columvi.com/about/treatment-goals-for-3l-dlbcl.html?c=gft-18903220006</v>
      </c>
      <c r="L100" s="5" t="b">
        <v>1</v>
      </c>
      <c r="M100" s="5" t="s">
        <v>3</v>
      </c>
    </row>
    <row r="101" spans="1:13" ht="15.75" customHeight="1" x14ac:dyDescent="0.3">
      <c r="A101" s="5" t="s">
        <v>93</v>
      </c>
      <c r="B101" s="5" t="s">
        <v>97</v>
      </c>
      <c r="C101" s="5" t="s">
        <v>98</v>
      </c>
      <c r="D101" s="2" t="str">
        <f>IFERROR(VLOOKUP(C101,'ATP - Keywords'!$B:$B,1,FALSE),"#N/A")</f>
        <v>Unbranded DLBCL Treatment</v>
      </c>
      <c r="E101" s="5" t="s">
        <v>236</v>
      </c>
      <c r="F101" s="2" t="str">
        <f>IFERROR(VLOOKUP(E101,'ATP - Keywords'!$C:$C,1,FALSE),"#N/A")</f>
        <v>lbcl treatment</v>
      </c>
      <c r="G101" s="5" t="s">
        <v>131</v>
      </c>
      <c r="H101" s="5" t="s">
        <v>228</v>
      </c>
      <c r="I101" s="5" t="s">
        <v>101</v>
      </c>
      <c r="J101" s="5" t="str">
        <f>IFERROR(VLOOKUP(I101,'ATP - Keywords'!$E:$E,1,FALSE),"#N/A")</f>
        <v>https://www.columvi.com/about/treatment-goals-for-3l-dlbcl.html</v>
      </c>
      <c r="K101" s="5" t="str">
        <f t="shared" si="1"/>
        <v>https://www.columvi.com/about/treatment-goals-for-3l-dlbcl.html?c=gft-18903220006</v>
      </c>
      <c r="L101" s="5" t="b">
        <v>1</v>
      </c>
      <c r="M101" s="5" t="s">
        <v>3</v>
      </c>
    </row>
    <row r="102" spans="1:13" ht="15.75" customHeight="1" x14ac:dyDescent="0.3">
      <c r="A102" s="5" t="s">
        <v>93</v>
      </c>
      <c r="B102" s="5" t="s">
        <v>97</v>
      </c>
      <c r="C102" s="5" t="s">
        <v>98</v>
      </c>
      <c r="D102" s="2" t="str">
        <f>IFERROR(VLOOKUP(C102,'ATP - Keywords'!$B:$B,1,FALSE),"#N/A")</f>
        <v>Unbranded DLBCL Treatment</v>
      </c>
      <c r="E102" s="5" t="s">
        <v>237</v>
      </c>
      <c r="F102" s="2" t="str">
        <f>IFERROR(VLOOKUP(E102,'ATP - Keywords'!$C:$C,1,FALSE),"#N/A")</f>
        <v>r/r dlbcl treatment</v>
      </c>
      <c r="G102" s="5" t="s">
        <v>131</v>
      </c>
      <c r="H102" s="5" t="s">
        <v>228</v>
      </c>
      <c r="I102" s="5" t="s">
        <v>101</v>
      </c>
      <c r="J102" s="5" t="str">
        <f>IFERROR(VLOOKUP(I102,'ATP - Keywords'!$E:$E,1,FALSE),"#N/A")</f>
        <v>https://www.columvi.com/about/treatment-goals-for-3l-dlbcl.html</v>
      </c>
      <c r="K102" s="5" t="str">
        <f t="shared" si="1"/>
        <v>https://www.columvi.com/about/treatment-goals-for-3l-dlbcl.html?c=gft-18903220006</v>
      </c>
      <c r="L102" s="5" t="b">
        <v>1</v>
      </c>
      <c r="M102" s="5" t="s">
        <v>3</v>
      </c>
    </row>
    <row r="103" spans="1:13" ht="15.75" customHeight="1" x14ac:dyDescent="0.3">
      <c r="A103" s="5" t="s">
        <v>93</v>
      </c>
      <c r="B103" s="5" t="s">
        <v>97</v>
      </c>
      <c r="C103" s="5" t="s">
        <v>98</v>
      </c>
      <c r="D103" s="2" t="str">
        <f>IFERROR(VLOOKUP(C103,'ATP - Keywords'!$B:$B,1,FALSE),"#N/A")</f>
        <v>Unbranded DLBCL Treatment</v>
      </c>
      <c r="E103" s="5" t="s">
        <v>238</v>
      </c>
      <c r="F103" s="2" t="str">
        <f>IFERROR(VLOOKUP(E103,'ATP - Keywords'!$C:$C,1,FALSE),"#N/A")</f>
        <v>relapsed or refractory dlbcl treatment option</v>
      </c>
      <c r="G103" s="5" t="s">
        <v>131</v>
      </c>
      <c r="H103" s="5" t="s">
        <v>228</v>
      </c>
      <c r="I103" s="5" t="s">
        <v>101</v>
      </c>
      <c r="J103" s="5" t="str">
        <f>IFERROR(VLOOKUP(I103,'ATP - Keywords'!$E:$E,1,FALSE),"#N/A")</f>
        <v>https://www.columvi.com/about/treatment-goals-for-3l-dlbcl.html</v>
      </c>
      <c r="K103" s="5" t="str">
        <f t="shared" si="1"/>
        <v>https://www.columvi.com/about/treatment-goals-for-3l-dlbcl.html?c=gft-18903220006</v>
      </c>
      <c r="L103" s="5" t="b">
        <v>1</v>
      </c>
      <c r="M103" s="5" t="s">
        <v>3</v>
      </c>
    </row>
    <row r="104" spans="1:13" ht="15.75" customHeight="1" x14ac:dyDescent="0.3">
      <c r="A104" s="5" t="s">
        <v>93</v>
      </c>
      <c r="B104" s="5" t="s">
        <v>97</v>
      </c>
      <c r="C104" s="5" t="s">
        <v>98</v>
      </c>
      <c r="D104" s="2" t="str">
        <f>IFERROR(VLOOKUP(C104,'ATP - Keywords'!$B:$B,1,FALSE),"#N/A")</f>
        <v>Unbranded DLBCL Treatment</v>
      </c>
      <c r="E104" s="5" t="s">
        <v>239</v>
      </c>
      <c r="F104" s="2" t="str">
        <f>IFERROR(VLOOKUP(E104,'ATP - Keywords'!$C:$C,1,FALSE),"#N/A")</f>
        <v>treatments for relapsed or refractory dlbcl</v>
      </c>
      <c r="G104" s="5" t="s">
        <v>131</v>
      </c>
      <c r="H104" s="5" t="s">
        <v>228</v>
      </c>
      <c r="I104" s="5" t="s">
        <v>101</v>
      </c>
      <c r="J104" s="5" t="str">
        <f>IFERROR(VLOOKUP(I104,'ATP - Keywords'!$E:$E,1,FALSE),"#N/A")</f>
        <v>https://www.columvi.com/about/treatment-goals-for-3l-dlbcl.html</v>
      </c>
      <c r="K104" s="5" t="str">
        <f t="shared" si="1"/>
        <v>https://www.columvi.com/about/treatment-goals-for-3l-dlbcl.html?c=gft-18903220006</v>
      </c>
      <c r="L104" s="5" t="b">
        <v>1</v>
      </c>
      <c r="M104" s="5" t="s">
        <v>3</v>
      </c>
    </row>
    <row r="105" spans="1:13" ht="15.75" customHeight="1" x14ac:dyDescent="0.3">
      <c r="A105" s="5" t="s">
        <v>93</v>
      </c>
      <c r="B105" s="5" t="s">
        <v>97</v>
      </c>
      <c r="C105" s="5" t="s">
        <v>98</v>
      </c>
      <c r="D105" s="2" t="str">
        <f>IFERROR(VLOOKUP(C105,'ATP - Keywords'!$B:$B,1,FALSE),"#N/A")</f>
        <v>Unbranded DLBCL Treatment</v>
      </c>
      <c r="E105" s="5" t="s">
        <v>240</v>
      </c>
      <c r="F105" s="2" t="str">
        <f>IFERROR(VLOOKUP(E105,'ATP - Keywords'!$C:$C,1,FALSE),"#N/A")</f>
        <v>treatment for large b cell lymphoma</v>
      </c>
      <c r="G105" s="5" t="s">
        <v>131</v>
      </c>
      <c r="H105" s="5" t="s">
        <v>228</v>
      </c>
      <c r="I105" s="5" t="s">
        <v>101</v>
      </c>
      <c r="J105" s="5" t="str">
        <f>IFERROR(VLOOKUP(I105,'ATP - Keywords'!$E:$E,1,FALSE),"#N/A")</f>
        <v>https://www.columvi.com/about/treatment-goals-for-3l-dlbcl.html</v>
      </c>
      <c r="K105" s="5" t="str">
        <f t="shared" si="1"/>
        <v>https://www.columvi.com/about/treatment-goals-for-3l-dlbcl.html?c=gft-18903220006</v>
      </c>
      <c r="L105" s="5" t="b">
        <v>1</v>
      </c>
      <c r="M105" s="5" t="s">
        <v>3</v>
      </c>
    </row>
    <row r="106" spans="1:13" ht="15.75" customHeight="1" x14ac:dyDescent="0.3">
      <c r="A106" s="5" t="s">
        <v>93</v>
      </c>
      <c r="B106" s="5" t="s">
        <v>97</v>
      </c>
      <c r="C106" s="5" t="s">
        <v>98</v>
      </c>
      <c r="D106" s="2" t="str">
        <f>IFERROR(VLOOKUP(C106,'ATP - Keywords'!$B:$B,1,FALSE),"#N/A")</f>
        <v>Unbranded DLBCL Treatment</v>
      </c>
      <c r="E106" s="5" t="s">
        <v>241</v>
      </c>
      <c r="F106" s="2" t="str">
        <f>IFERROR(VLOOKUP(E106,'ATP - Keywords'!$C:$C,1,FALSE),"#N/A")</f>
        <v>treatment for b cell lymphoma</v>
      </c>
      <c r="G106" s="5" t="s">
        <v>131</v>
      </c>
      <c r="H106" s="5" t="s">
        <v>228</v>
      </c>
      <c r="I106" s="5" t="s">
        <v>101</v>
      </c>
      <c r="J106" s="5" t="str">
        <f>IFERROR(VLOOKUP(I106,'ATP - Keywords'!$E:$E,1,FALSE),"#N/A")</f>
        <v>https://www.columvi.com/about/treatment-goals-for-3l-dlbcl.html</v>
      </c>
      <c r="K106" s="5" t="str">
        <f t="shared" si="1"/>
        <v>https://www.columvi.com/about/treatment-goals-for-3l-dlbcl.html?c=gft-18903220006</v>
      </c>
      <c r="L106" s="5" t="b">
        <v>1</v>
      </c>
      <c r="M106" s="5" t="s">
        <v>3</v>
      </c>
    </row>
    <row r="107" spans="1:13" ht="15.75" customHeight="1" x14ac:dyDescent="0.3">
      <c r="A107" s="5" t="s">
        <v>93</v>
      </c>
      <c r="B107" s="5" t="s">
        <v>97</v>
      </c>
      <c r="C107" s="5" t="s">
        <v>98</v>
      </c>
      <c r="D107" s="2" t="str">
        <f>IFERROR(VLOOKUP(C107,'ATP - Keywords'!$B:$B,1,FALSE),"#N/A")</f>
        <v>Unbranded DLBCL Treatment</v>
      </c>
      <c r="E107" s="5" t="s">
        <v>242</v>
      </c>
      <c r="F107" s="2" t="str">
        <f>IFERROR(VLOOKUP(E107,'ATP - Keywords'!$C:$C,1,FALSE),"#N/A")</f>
        <v>latest treatment options for diffuse b cell lymphoma</v>
      </c>
      <c r="G107" s="5" t="s">
        <v>131</v>
      </c>
      <c r="H107" s="5" t="s">
        <v>228</v>
      </c>
      <c r="I107" s="5" t="s">
        <v>101</v>
      </c>
      <c r="J107" s="5" t="str">
        <f>IFERROR(VLOOKUP(I107,'ATP - Keywords'!$E:$E,1,FALSE),"#N/A")</f>
        <v>https://www.columvi.com/about/treatment-goals-for-3l-dlbcl.html</v>
      </c>
      <c r="K107" s="5" t="str">
        <f t="shared" si="1"/>
        <v>https://www.columvi.com/about/treatment-goals-for-3l-dlbcl.html?c=gft-18903220006</v>
      </c>
      <c r="L107" s="5" t="b">
        <v>1</v>
      </c>
      <c r="M107" s="5" t="s">
        <v>3</v>
      </c>
    </row>
    <row r="108" spans="1:13" ht="15.75" customHeight="1" x14ac:dyDescent="0.3">
      <c r="A108" s="5" t="s">
        <v>93</v>
      </c>
      <c r="B108" s="5" t="s">
        <v>97</v>
      </c>
      <c r="C108" s="5" t="s">
        <v>98</v>
      </c>
      <c r="D108" s="2" t="str">
        <f>IFERROR(VLOOKUP(C108,'ATP - Keywords'!$B:$B,1,FALSE),"#N/A")</f>
        <v>Unbranded DLBCL Treatment</v>
      </c>
      <c r="E108" s="5" t="s">
        <v>243</v>
      </c>
      <c r="F108" s="2" t="str">
        <f>IFERROR(VLOOKUP(E108,'ATP - Keywords'!$C:$C,1,FALSE),"#N/A")</f>
        <v>treatments in dlbcl</v>
      </c>
      <c r="G108" s="5" t="s">
        <v>131</v>
      </c>
      <c r="H108" s="5" t="s">
        <v>228</v>
      </c>
      <c r="I108" s="5" t="s">
        <v>101</v>
      </c>
      <c r="J108" s="5" t="str">
        <f>IFERROR(VLOOKUP(I108,'ATP - Keywords'!$E:$E,1,FALSE),"#N/A")</f>
        <v>https://www.columvi.com/about/treatment-goals-for-3l-dlbcl.html</v>
      </c>
      <c r="K108" s="5" t="str">
        <f t="shared" si="1"/>
        <v>https://www.columvi.com/about/treatment-goals-for-3l-dlbcl.html?c=gft-18903220006</v>
      </c>
      <c r="L108" s="5" t="b">
        <v>1</v>
      </c>
      <c r="M108" s="5" t="s">
        <v>3</v>
      </c>
    </row>
    <row r="109" spans="1:13" ht="15.75" customHeight="1" x14ac:dyDescent="0.3">
      <c r="A109" s="5" t="s">
        <v>93</v>
      </c>
      <c r="B109" s="5" t="s">
        <v>97</v>
      </c>
      <c r="C109" s="5" t="s">
        <v>98</v>
      </c>
      <c r="D109" s="2" t="str">
        <f>IFERROR(VLOOKUP(C109,'ATP - Keywords'!$B:$B,1,FALSE),"#N/A")</f>
        <v>Unbranded DLBCL Treatment</v>
      </c>
      <c r="E109" s="5" t="s">
        <v>244</v>
      </c>
      <c r="F109" s="2" t="str">
        <f>IFERROR(VLOOKUP(E109,'ATP - Keywords'!$C:$C,1,FALSE),"#N/A")</f>
        <v>dlbcl treatments</v>
      </c>
      <c r="G109" s="5" t="s">
        <v>131</v>
      </c>
      <c r="H109" s="5" t="s">
        <v>228</v>
      </c>
      <c r="I109" s="5" t="s">
        <v>101</v>
      </c>
      <c r="J109" s="5" t="str">
        <f>IFERROR(VLOOKUP(I109,'ATP - Keywords'!$E:$E,1,FALSE),"#N/A")</f>
        <v>https://www.columvi.com/about/treatment-goals-for-3l-dlbcl.html</v>
      </c>
      <c r="K109" s="5" t="str">
        <f t="shared" si="1"/>
        <v>https://www.columvi.com/about/treatment-goals-for-3l-dlbcl.html?c=gft-18903220006</v>
      </c>
      <c r="L109" s="5" t="b">
        <v>1</v>
      </c>
      <c r="M109" s="5" t="s">
        <v>3</v>
      </c>
    </row>
    <row r="110" spans="1:13" ht="15.75" customHeight="1" x14ac:dyDescent="0.3">
      <c r="A110" s="5" t="s">
        <v>93</v>
      </c>
      <c r="B110" s="5" t="s">
        <v>97</v>
      </c>
      <c r="C110" s="5" t="s">
        <v>98</v>
      </c>
      <c r="D110" s="2" t="str">
        <f>IFERROR(VLOOKUP(C110,'ATP - Keywords'!$B:$B,1,FALSE),"#N/A")</f>
        <v>Unbranded DLBCL Treatment</v>
      </c>
      <c r="E110" s="5" t="s">
        <v>245</v>
      </c>
      <c r="F110" s="2" t="str">
        <f>IFERROR(VLOOKUP(E110,'ATP - Keywords'!$C:$C,1,FALSE),"#N/A")</f>
        <v>treatments in diffuse large b cell lymphoma</v>
      </c>
      <c r="G110" s="5" t="s">
        <v>131</v>
      </c>
      <c r="H110" s="5" t="s">
        <v>228</v>
      </c>
      <c r="I110" s="5" t="s">
        <v>101</v>
      </c>
      <c r="J110" s="5" t="str">
        <f>IFERROR(VLOOKUP(I110,'ATP - Keywords'!$E:$E,1,FALSE),"#N/A")</f>
        <v>https://www.columvi.com/about/treatment-goals-for-3l-dlbcl.html</v>
      </c>
      <c r="K110" s="5" t="str">
        <f t="shared" si="1"/>
        <v>https://www.columvi.com/about/treatment-goals-for-3l-dlbcl.html?c=gft-18903220006</v>
      </c>
      <c r="L110" s="5" t="b">
        <v>1</v>
      </c>
      <c r="M110" s="5" t="s">
        <v>3</v>
      </c>
    </row>
    <row r="111" spans="1:13" ht="15.75" customHeight="1" x14ac:dyDescent="0.3">
      <c r="A111" s="5" t="s">
        <v>93</v>
      </c>
      <c r="B111" s="5" t="s">
        <v>97</v>
      </c>
      <c r="C111" s="5" t="s">
        <v>98</v>
      </c>
      <c r="D111" s="2" t="str">
        <f>IFERROR(VLOOKUP(C111,'ATP - Keywords'!$B:$B,1,FALSE),"#N/A")</f>
        <v>Unbranded DLBCL Treatment</v>
      </c>
      <c r="E111" s="5" t="s">
        <v>246</v>
      </c>
      <c r="F111" s="2" t="str">
        <f>IFERROR(VLOOKUP(E111,'ATP - Keywords'!$C:$C,1,FALSE),"#N/A")</f>
        <v>large b cell lymphoma drug</v>
      </c>
      <c r="G111" s="5" t="s">
        <v>131</v>
      </c>
      <c r="H111" s="5" t="s">
        <v>228</v>
      </c>
      <c r="I111" s="5" t="s">
        <v>101</v>
      </c>
      <c r="J111" s="5" t="str">
        <f>IFERROR(VLOOKUP(I111,'ATP - Keywords'!$E:$E,1,FALSE),"#N/A")</f>
        <v>https://www.columvi.com/about/treatment-goals-for-3l-dlbcl.html</v>
      </c>
      <c r="K111" s="5" t="str">
        <f t="shared" si="1"/>
        <v>https://www.columvi.com/about/treatment-goals-for-3l-dlbcl.html?c=gft-18903220006</v>
      </c>
      <c r="L111" s="5" t="b">
        <v>1</v>
      </c>
      <c r="M111" s="5" t="s">
        <v>3</v>
      </c>
    </row>
    <row r="112" spans="1:13" ht="15.75" customHeight="1" x14ac:dyDescent="0.3">
      <c r="A112" s="5" t="s">
        <v>93</v>
      </c>
      <c r="B112" s="5" t="s">
        <v>97</v>
      </c>
      <c r="C112" s="5" t="s">
        <v>98</v>
      </c>
      <c r="D112" s="2" t="str">
        <f>IFERROR(VLOOKUP(C112,'ATP - Keywords'!$B:$B,1,FALSE),"#N/A")</f>
        <v>Unbranded DLBCL Treatment</v>
      </c>
      <c r="E112" s="5" t="s">
        <v>247</v>
      </c>
      <c r="F112" s="2" t="str">
        <f>IFERROR(VLOOKUP(E112,'ATP - Keywords'!$C:$C,1,FALSE),"#N/A")</f>
        <v>relapsed refractory large b cell lymphoma drug</v>
      </c>
      <c r="G112" s="5" t="s">
        <v>131</v>
      </c>
      <c r="H112" s="5" t="s">
        <v>228</v>
      </c>
      <c r="I112" s="5" t="s">
        <v>101</v>
      </c>
      <c r="J112" s="5" t="str">
        <f>IFERROR(VLOOKUP(I112,'ATP - Keywords'!$E:$E,1,FALSE),"#N/A")</f>
        <v>https://www.columvi.com/about/treatment-goals-for-3l-dlbcl.html</v>
      </c>
      <c r="K112" s="5" t="str">
        <f t="shared" si="1"/>
        <v>https://www.columvi.com/about/treatment-goals-for-3l-dlbcl.html?c=gft-18903220006</v>
      </c>
      <c r="L112" s="5" t="b">
        <v>1</v>
      </c>
      <c r="M112" s="5" t="s">
        <v>3</v>
      </c>
    </row>
    <row r="113" spans="1:13" ht="15.75" customHeight="1" x14ac:dyDescent="0.3">
      <c r="A113" s="5" t="s">
        <v>93</v>
      </c>
      <c r="B113" s="5" t="s">
        <v>97</v>
      </c>
      <c r="C113" s="5" t="s">
        <v>98</v>
      </c>
      <c r="D113" s="2" t="str">
        <f>IFERROR(VLOOKUP(C113,'ATP - Keywords'!$B:$B,1,FALSE),"#N/A")</f>
        <v>Unbranded DLBCL Treatment</v>
      </c>
      <c r="E113" s="5" t="s">
        <v>248</v>
      </c>
      <c r="F113" s="2" t="str">
        <f>IFERROR(VLOOKUP(E113,'ATP - Keywords'!$C:$C,1,FALSE),"#N/A")</f>
        <v>non-hodgkin's treatment</v>
      </c>
      <c r="G113" s="5" t="s">
        <v>131</v>
      </c>
      <c r="H113" s="5" t="s">
        <v>228</v>
      </c>
      <c r="I113" s="5" t="s">
        <v>101</v>
      </c>
      <c r="J113" s="5" t="str">
        <f>IFERROR(VLOOKUP(I113,'ATP - Keywords'!$E:$E,1,FALSE),"#N/A")</f>
        <v>https://www.columvi.com/about/treatment-goals-for-3l-dlbcl.html</v>
      </c>
      <c r="K113" s="5" t="str">
        <f t="shared" si="1"/>
        <v>https://www.columvi.com/about/treatment-goals-for-3l-dlbcl.html?c=gft-18903220006</v>
      </c>
      <c r="L113" s="5" t="b">
        <v>1</v>
      </c>
      <c r="M113" s="5" t="s">
        <v>3</v>
      </c>
    </row>
    <row r="114" spans="1:13" ht="15.75" customHeight="1" x14ac:dyDescent="0.3">
      <c r="A114" s="5" t="s">
        <v>93</v>
      </c>
      <c r="B114" s="5" t="s">
        <v>97</v>
      </c>
      <c r="C114" s="5" t="s">
        <v>98</v>
      </c>
      <c r="D114" s="2" t="str">
        <f>IFERROR(VLOOKUP(C114,'ATP - Keywords'!$B:$B,1,FALSE),"#N/A")</f>
        <v>Unbranded DLBCL Treatment</v>
      </c>
      <c r="E114" s="5" t="s">
        <v>249</v>
      </c>
      <c r="F114" s="2" t="str">
        <f>IFERROR(VLOOKUP(E114,'ATP - Keywords'!$C:$C,1,FALSE),"#N/A")</f>
        <v>non-hodgkin's lymphoma treatment</v>
      </c>
      <c r="G114" s="5" t="s">
        <v>131</v>
      </c>
      <c r="H114" s="5" t="s">
        <v>228</v>
      </c>
      <c r="I114" s="5" t="s">
        <v>101</v>
      </c>
      <c r="J114" s="5" t="str">
        <f>IFERROR(VLOOKUP(I114,'ATP - Keywords'!$E:$E,1,FALSE),"#N/A")</f>
        <v>https://www.columvi.com/about/treatment-goals-for-3l-dlbcl.html</v>
      </c>
      <c r="K114" s="5" t="str">
        <f t="shared" si="1"/>
        <v>https://www.columvi.com/about/treatment-goals-for-3l-dlbcl.html?c=gft-18903220006</v>
      </c>
      <c r="L114" s="5" t="b">
        <v>1</v>
      </c>
      <c r="M114" s="5" t="s">
        <v>3</v>
      </c>
    </row>
    <row r="115" spans="1:13" ht="15.75" customHeight="1" x14ac:dyDescent="0.3">
      <c r="A115" s="5" t="s">
        <v>93</v>
      </c>
      <c r="B115" s="5" t="s">
        <v>97</v>
      </c>
      <c r="C115" s="5" t="s">
        <v>98</v>
      </c>
      <c r="D115" s="2" t="str">
        <f>IFERROR(VLOOKUP(C115,'ATP - Keywords'!$B:$B,1,FALSE),"#N/A")</f>
        <v>Unbranded DLBCL Treatment</v>
      </c>
      <c r="E115" s="5" t="s">
        <v>250</v>
      </c>
      <c r="F115" s="2" t="str">
        <f>IFERROR(VLOOKUP(E115,'ATP - Keywords'!$C:$C,1,FALSE),"#N/A")</f>
        <v>treatment for non-hodgkin's disease</v>
      </c>
      <c r="G115" s="5" t="s">
        <v>131</v>
      </c>
      <c r="H115" s="5" t="s">
        <v>228</v>
      </c>
      <c r="I115" s="5" t="s">
        <v>101</v>
      </c>
      <c r="J115" s="5" t="str">
        <f>IFERROR(VLOOKUP(I115,'ATP - Keywords'!$E:$E,1,FALSE),"#N/A")</f>
        <v>https://www.columvi.com/about/treatment-goals-for-3l-dlbcl.html</v>
      </c>
      <c r="K115" s="5" t="str">
        <f t="shared" si="1"/>
        <v>https://www.columvi.com/about/treatment-goals-for-3l-dlbcl.html?c=gft-18903220006</v>
      </c>
      <c r="L115" s="5" t="b">
        <v>1</v>
      </c>
      <c r="M115" s="5" t="s">
        <v>3</v>
      </c>
    </row>
    <row r="116" spans="1:13" ht="15.75" customHeight="1" x14ac:dyDescent="0.3">
      <c r="A116" s="5" t="s">
        <v>93</v>
      </c>
      <c r="B116" s="5" t="s">
        <v>97</v>
      </c>
      <c r="C116" s="5" t="s">
        <v>98</v>
      </c>
      <c r="D116" s="2" t="str">
        <f>IFERROR(VLOOKUP(C116,'ATP - Keywords'!$B:$B,1,FALSE),"#N/A")</f>
        <v>Unbranded DLBCL Treatment</v>
      </c>
      <c r="E116" s="5" t="s">
        <v>251</v>
      </c>
      <c r="F116" s="2" t="str">
        <f>IFERROR(VLOOKUP(E116,'ATP - Keywords'!$C:$C,1,FALSE),"#N/A")</f>
        <v>dlbcl starting treatment</v>
      </c>
      <c r="G116" s="5" t="s">
        <v>131</v>
      </c>
      <c r="H116" s="5" t="s">
        <v>228</v>
      </c>
      <c r="I116" s="5" t="s">
        <v>101</v>
      </c>
      <c r="J116" s="5" t="str">
        <f>IFERROR(VLOOKUP(I116,'ATP - Keywords'!$E:$E,1,FALSE),"#N/A")</f>
        <v>https://www.columvi.com/about/treatment-goals-for-3l-dlbcl.html</v>
      </c>
      <c r="K116" s="5" t="str">
        <f t="shared" si="1"/>
        <v>https://www.columvi.com/about/treatment-goals-for-3l-dlbcl.html?c=gft-18903220006</v>
      </c>
      <c r="L116" s="5" t="b">
        <v>1</v>
      </c>
      <c r="M116" s="5" t="s">
        <v>3</v>
      </c>
    </row>
    <row r="117" spans="1:13" ht="15.75" customHeight="1" x14ac:dyDescent="0.3">
      <c r="A117" s="5" t="s">
        <v>93</v>
      </c>
      <c r="B117" s="5" t="s">
        <v>102</v>
      </c>
      <c r="C117" s="5" t="s">
        <v>103</v>
      </c>
      <c r="D117" s="2" t="str">
        <f>IFERROR(VLOOKUP(C117,'ATP - Keywords'!$B:$B,1,FALSE),"#N/A")</f>
        <v>Unbranded DLBCL Medication</v>
      </c>
      <c r="E117" s="5" t="s">
        <v>252</v>
      </c>
      <c r="F117" s="2" t="str">
        <f>IFERROR(VLOOKUP(E117,'ATP - Keywords'!$C:$C,1,FALSE),"#N/A")</f>
        <v>medication for large b cell lymphoma</v>
      </c>
      <c r="G117" s="5" t="s">
        <v>131</v>
      </c>
      <c r="H117" s="5" t="s">
        <v>253</v>
      </c>
      <c r="I117" s="5" t="s">
        <v>107</v>
      </c>
      <c r="J117" s="5" t="str">
        <f>IFERROR(VLOOKUP(I117,'ATP - Keywords'!$E:$E,1,FALSE),"#N/A")</f>
        <v>https://www.columvi.com/starting-columvi/how-columvi-is-given.html</v>
      </c>
      <c r="K117" s="5" t="str">
        <f t="shared" si="1"/>
        <v>https://www.columvi.com/starting-columvi/how-columvi-is-given.html?c=gft-18903220006</v>
      </c>
      <c r="L117" s="5" t="b">
        <v>1</v>
      </c>
      <c r="M117" s="5" t="s">
        <v>3</v>
      </c>
    </row>
    <row r="118" spans="1:13" ht="15.75" customHeight="1" x14ac:dyDescent="0.3">
      <c r="A118" s="5" t="s">
        <v>93</v>
      </c>
      <c r="B118" s="5" t="s">
        <v>102</v>
      </c>
      <c r="C118" s="5" t="s">
        <v>103</v>
      </c>
      <c r="D118" s="2" t="str">
        <f>IFERROR(VLOOKUP(C118,'ATP - Keywords'!$B:$B,1,FALSE),"#N/A")</f>
        <v>Unbranded DLBCL Medication</v>
      </c>
      <c r="E118" s="5" t="s">
        <v>254</v>
      </c>
      <c r="F118" s="2" t="str">
        <f>IFERROR(VLOOKUP(E118,'ATP - Keywords'!$C:$C,1,FALSE),"#N/A")</f>
        <v>medication for dlbcl</v>
      </c>
      <c r="G118" s="5" t="s">
        <v>131</v>
      </c>
      <c r="H118" s="5" t="s">
        <v>253</v>
      </c>
      <c r="I118" s="5" t="s">
        <v>107</v>
      </c>
      <c r="J118" s="5" t="str">
        <f>IFERROR(VLOOKUP(I118,'ATP - Keywords'!$E:$E,1,FALSE),"#N/A")</f>
        <v>https://www.columvi.com/starting-columvi/how-columvi-is-given.html</v>
      </c>
      <c r="K118" s="5" t="str">
        <f t="shared" si="1"/>
        <v>https://www.columvi.com/starting-columvi/how-columvi-is-given.html?c=gft-18903220006</v>
      </c>
      <c r="L118" s="5" t="b">
        <v>1</v>
      </c>
      <c r="M118" s="5" t="s">
        <v>3</v>
      </c>
    </row>
    <row r="119" spans="1:13" ht="15.75" customHeight="1" x14ac:dyDescent="0.3">
      <c r="A119" s="5" t="s">
        <v>93</v>
      </c>
      <c r="B119" s="5" t="s">
        <v>102</v>
      </c>
      <c r="C119" s="5" t="s">
        <v>103</v>
      </c>
      <c r="D119" s="2" t="str">
        <f>IFERROR(VLOOKUP(C119,'ATP - Keywords'!$B:$B,1,FALSE),"#N/A")</f>
        <v>Unbranded DLBCL Medication</v>
      </c>
      <c r="E119" s="5" t="s">
        <v>255</v>
      </c>
      <c r="F119" s="2" t="str">
        <f>IFERROR(VLOOKUP(E119,'ATP - Keywords'!$C:$C,1,FALSE),"#N/A")</f>
        <v>dlbcl medication</v>
      </c>
      <c r="G119" s="5" t="s">
        <v>131</v>
      </c>
      <c r="H119" s="5" t="s">
        <v>253</v>
      </c>
      <c r="I119" s="5" t="s">
        <v>107</v>
      </c>
      <c r="J119" s="5" t="str">
        <f>IFERROR(VLOOKUP(I119,'ATP - Keywords'!$E:$E,1,FALSE),"#N/A")</f>
        <v>https://www.columvi.com/starting-columvi/how-columvi-is-given.html</v>
      </c>
      <c r="K119" s="5" t="str">
        <f t="shared" si="1"/>
        <v>https://www.columvi.com/starting-columvi/how-columvi-is-given.html?c=gft-18903220006</v>
      </c>
      <c r="L119" s="5" t="b">
        <v>1</v>
      </c>
      <c r="M119" s="5" t="s">
        <v>3</v>
      </c>
    </row>
    <row r="120" spans="1:13" ht="15.75" customHeight="1" x14ac:dyDescent="0.3">
      <c r="A120" s="5" t="s">
        <v>93</v>
      </c>
      <c r="B120" s="5" t="s">
        <v>102</v>
      </c>
      <c r="C120" s="5" t="s">
        <v>103</v>
      </c>
      <c r="D120" s="2" t="str">
        <f>IFERROR(VLOOKUP(C120,'ATP - Keywords'!$B:$B,1,FALSE),"#N/A")</f>
        <v>Unbranded DLBCL Medication</v>
      </c>
      <c r="E120" s="5" t="s">
        <v>256</v>
      </c>
      <c r="F120" s="2" t="str">
        <f>IFERROR(VLOOKUP(E120,'ATP - Keywords'!$C:$C,1,FALSE),"#N/A")</f>
        <v>diffuse large b cell lymphoma medication</v>
      </c>
      <c r="G120" s="5" t="s">
        <v>131</v>
      </c>
      <c r="H120" s="5" t="s">
        <v>253</v>
      </c>
      <c r="I120" s="5" t="s">
        <v>107</v>
      </c>
      <c r="J120" s="5" t="str">
        <f>IFERROR(VLOOKUP(I120,'ATP - Keywords'!$E:$E,1,FALSE),"#N/A")</f>
        <v>https://www.columvi.com/starting-columvi/how-columvi-is-given.html</v>
      </c>
      <c r="K120" s="5" t="str">
        <f t="shared" si="1"/>
        <v>https://www.columvi.com/starting-columvi/how-columvi-is-given.html?c=gft-18903220006</v>
      </c>
      <c r="L120" s="5" t="b">
        <v>1</v>
      </c>
      <c r="M120" s="5" t="s">
        <v>3</v>
      </c>
    </row>
    <row r="121" spans="1:13" ht="15.75" customHeight="1" x14ac:dyDescent="0.3">
      <c r="A121" s="5" t="s">
        <v>93</v>
      </c>
      <c r="B121" s="5" t="s">
        <v>102</v>
      </c>
      <c r="C121" s="5" t="s">
        <v>103</v>
      </c>
      <c r="D121" s="2" t="str">
        <f>IFERROR(VLOOKUP(C121,'ATP - Keywords'!$B:$B,1,FALSE),"#N/A")</f>
        <v>Unbranded DLBCL Medication</v>
      </c>
      <c r="E121" s="5" t="s">
        <v>257</v>
      </c>
      <c r="F121" s="2" t="str">
        <f>IFERROR(VLOOKUP(E121,'ATP - Keywords'!$C:$C,1,FALSE),"#N/A")</f>
        <v>medication options for dlbcl</v>
      </c>
      <c r="G121" s="5" t="s">
        <v>131</v>
      </c>
      <c r="H121" s="5" t="s">
        <v>253</v>
      </c>
      <c r="I121" s="5" t="s">
        <v>107</v>
      </c>
      <c r="J121" s="5" t="str">
        <f>IFERROR(VLOOKUP(I121,'ATP - Keywords'!$E:$E,1,FALSE),"#N/A")</f>
        <v>https://www.columvi.com/starting-columvi/how-columvi-is-given.html</v>
      </c>
      <c r="K121" s="5" t="str">
        <f t="shared" si="1"/>
        <v>https://www.columvi.com/starting-columvi/how-columvi-is-given.html?c=gft-18903220006</v>
      </c>
      <c r="L121" s="5" t="b">
        <v>1</v>
      </c>
      <c r="M121" s="5" t="s">
        <v>3</v>
      </c>
    </row>
    <row r="122" spans="1:13" ht="15.75" customHeight="1" x14ac:dyDescent="0.3">
      <c r="A122" s="5" t="s">
        <v>93</v>
      </c>
      <c r="B122" s="5" t="s">
        <v>102</v>
      </c>
      <c r="C122" s="5" t="s">
        <v>103</v>
      </c>
      <c r="D122" s="2" t="str">
        <f>IFERROR(VLOOKUP(C122,'ATP - Keywords'!$B:$B,1,FALSE),"#N/A")</f>
        <v>Unbranded DLBCL Medication</v>
      </c>
      <c r="E122" s="5" t="s">
        <v>258</v>
      </c>
      <c r="F122" s="2" t="str">
        <f>IFERROR(VLOOKUP(E122,'ATP - Keywords'!$C:$C,1,FALSE),"#N/A")</f>
        <v>relapsed or refractory dlbcl medication</v>
      </c>
      <c r="G122" s="5" t="s">
        <v>131</v>
      </c>
      <c r="H122" s="5" t="s">
        <v>253</v>
      </c>
      <c r="I122" s="5" t="s">
        <v>107</v>
      </c>
      <c r="J122" s="5" t="str">
        <f>IFERROR(VLOOKUP(I122,'ATP - Keywords'!$E:$E,1,FALSE),"#N/A")</f>
        <v>https://www.columvi.com/starting-columvi/how-columvi-is-given.html</v>
      </c>
      <c r="K122" s="5" t="str">
        <f t="shared" si="1"/>
        <v>https://www.columvi.com/starting-columvi/how-columvi-is-given.html?c=gft-18903220006</v>
      </c>
      <c r="L122" s="5" t="b">
        <v>1</v>
      </c>
      <c r="M122" s="5" t="s">
        <v>3</v>
      </c>
    </row>
    <row r="123" spans="1:13" ht="15.75" customHeight="1" x14ac:dyDescent="0.3">
      <c r="A123" s="5" t="s">
        <v>93</v>
      </c>
      <c r="B123" s="5" t="s">
        <v>108</v>
      </c>
      <c r="C123" s="5" t="s">
        <v>109</v>
      </c>
      <c r="D123" s="2" t="str">
        <f>IFERROR(VLOOKUP(C123,'ATP - Keywords'!$B:$B,1,FALSE),"#N/A")</f>
        <v>Unbranded DLBCL Therapy</v>
      </c>
      <c r="E123" s="5" t="s">
        <v>259</v>
      </c>
      <c r="F123" s="2" t="str">
        <f>IFERROR(VLOOKUP(E123,'ATP - Keywords'!$C:$C,1,FALSE),"#N/A")</f>
        <v>therapy for dlbcl</v>
      </c>
      <c r="G123" s="5" t="s">
        <v>131</v>
      </c>
      <c r="H123" s="5" t="s">
        <v>253</v>
      </c>
      <c r="I123" s="5" t="s">
        <v>107</v>
      </c>
      <c r="J123" s="5" t="str">
        <f>IFERROR(VLOOKUP(I123,'ATP - Keywords'!$E:$E,1,FALSE),"#N/A")</f>
        <v>https://www.columvi.com/starting-columvi/how-columvi-is-given.html</v>
      </c>
      <c r="K123" s="5" t="str">
        <f t="shared" si="1"/>
        <v>https://www.columvi.com/starting-columvi/how-columvi-is-given.html?c=gft-18903220006</v>
      </c>
      <c r="L123" s="5" t="b">
        <v>1</v>
      </c>
      <c r="M123" s="5" t="s">
        <v>3</v>
      </c>
    </row>
    <row r="124" spans="1:13" ht="15.75" customHeight="1" x14ac:dyDescent="0.3">
      <c r="A124" s="5" t="s">
        <v>93</v>
      </c>
      <c r="B124" s="5" t="s">
        <v>108</v>
      </c>
      <c r="C124" s="5" t="s">
        <v>109</v>
      </c>
      <c r="D124" s="2" t="str">
        <f>IFERROR(VLOOKUP(C124,'ATP - Keywords'!$B:$B,1,FALSE),"#N/A")</f>
        <v>Unbranded DLBCL Therapy</v>
      </c>
      <c r="E124" s="5" t="s">
        <v>260</v>
      </c>
      <c r="F124" s="2" t="str">
        <f>IFERROR(VLOOKUP(E124,'ATP - Keywords'!$C:$C,1,FALSE),"#N/A")</f>
        <v>therapy for large b cell lymphoma</v>
      </c>
      <c r="G124" s="5" t="s">
        <v>131</v>
      </c>
      <c r="H124" s="5" t="s">
        <v>253</v>
      </c>
      <c r="I124" s="5" t="s">
        <v>107</v>
      </c>
      <c r="J124" s="5" t="str">
        <f>IFERROR(VLOOKUP(I124,'ATP - Keywords'!$E:$E,1,FALSE),"#N/A")</f>
        <v>https://www.columvi.com/starting-columvi/how-columvi-is-given.html</v>
      </c>
      <c r="K124" s="5" t="str">
        <f t="shared" si="1"/>
        <v>https://www.columvi.com/starting-columvi/how-columvi-is-given.html?c=gft-18903220006</v>
      </c>
      <c r="L124" s="5" t="b">
        <v>1</v>
      </c>
      <c r="M124" s="5" t="s">
        <v>3</v>
      </c>
    </row>
    <row r="125" spans="1:13" ht="15.75" customHeight="1" x14ac:dyDescent="0.3">
      <c r="A125" s="5" t="s">
        <v>93</v>
      </c>
      <c r="B125" s="5" t="s">
        <v>108</v>
      </c>
      <c r="C125" s="5" t="s">
        <v>109</v>
      </c>
      <c r="D125" s="2" t="str">
        <f>IFERROR(VLOOKUP(C125,'ATP - Keywords'!$B:$B,1,FALSE),"#N/A")</f>
        <v>Unbranded DLBCL Therapy</v>
      </c>
      <c r="E125" s="5" t="s">
        <v>261</v>
      </c>
      <c r="F125" s="2" t="str">
        <f>IFERROR(VLOOKUP(E125,'ATP - Keywords'!$C:$C,1,FALSE),"#N/A")</f>
        <v>therapy for relapsed refractory large b cell lymphoma</v>
      </c>
      <c r="G125" s="5" t="s">
        <v>131</v>
      </c>
      <c r="H125" s="5" t="s">
        <v>253</v>
      </c>
      <c r="I125" s="5" t="s">
        <v>107</v>
      </c>
      <c r="J125" s="5" t="str">
        <f>IFERROR(VLOOKUP(I125,'ATP - Keywords'!$E:$E,1,FALSE),"#N/A")</f>
        <v>https://www.columvi.com/starting-columvi/how-columvi-is-given.html</v>
      </c>
      <c r="K125" s="5" t="str">
        <f t="shared" si="1"/>
        <v>https://www.columvi.com/starting-columvi/how-columvi-is-given.html?c=gft-18903220006</v>
      </c>
      <c r="L125" s="5" t="b">
        <v>1</v>
      </c>
      <c r="M125" s="5" t="s">
        <v>3</v>
      </c>
    </row>
    <row r="126" spans="1:13" ht="15.75" customHeight="1" x14ac:dyDescent="0.3">
      <c r="A126" s="5" t="s">
        <v>93</v>
      </c>
      <c r="B126" s="5" t="s">
        <v>108</v>
      </c>
      <c r="C126" s="5" t="s">
        <v>109</v>
      </c>
      <c r="D126" s="2" t="str">
        <f>IFERROR(VLOOKUP(C126,'ATP - Keywords'!$B:$B,1,FALSE),"#N/A")</f>
        <v>Unbranded DLBCL Therapy</v>
      </c>
      <c r="E126" s="5" t="s">
        <v>262</v>
      </c>
      <c r="F126" s="2" t="str">
        <f>IFERROR(VLOOKUP(E126,'ATP - Keywords'!$C:$C,1,FALSE),"#N/A")</f>
        <v>latest therapies for dlbcl</v>
      </c>
      <c r="G126" s="5" t="s">
        <v>131</v>
      </c>
      <c r="H126" s="5" t="s">
        <v>253</v>
      </c>
      <c r="I126" s="5" t="s">
        <v>107</v>
      </c>
      <c r="J126" s="5" t="str">
        <f>IFERROR(VLOOKUP(I126,'ATP - Keywords'!$E:$E,1,FALSE),"#N/A")</f>
        <v>https://www.columvi.com/starting-columvi/how-columvi-is-given.html</v>
      </c>
      <c r="K126" s="5" t="str">
        <f t="shared" si="1"/>
        <v>https://www.columvi.com/starting-columvi/how-columvi-is-given.html?c=gft-18903220006</v>
      </c>
      <c r="L126" s="5" t="b">
        <v>1</v>
      </c>
      <c r="M126" s="5" t="s">
        <v>3</v>
      </c>
    </row>
    <row r="127" spans="1:13" ht="15.75" customHeight="1" x14ac:dyDescent="0.3">
      <c r="A127" s="5" t="s">
        <v>93</v>
      </c>
      <c r="B127" s="5" t="s">
        <v>108</v>
      </c>
      <c r="C127" s="5" t="s">
        <v>109</v>
      </c>
      <c r="D127" s="2" t="str">
        <f>IFERROR(VLOOKUP(C127,'ATP - Keywords'!$B:$B,1,FALSE),"#N/A")</f>
        <v>Unbranded DLBCL Therapy</v>
      </c>
      <c r="E127" s="5" t="s">
        <v>263</v>
      </c>
      <c r="F127" s="2" t="str">
        <f>IFERROR(VLOOKUP(E127,'ATP - Keywords'!$C:$C,1,FALSE),"#N/A")</f>
        <v>latest therapy for diffuse large b cell lymphoma</v>
      </c>
      <c r="G127" s="5" t="s">
        <v>131</v>
      </c>
      <c r="H127" s="5" t="s">
        <v>253</v>
      </c>
      <c r="I127" s="5" t="s">
        <v>107</v>
      </c>
      <c r="J127" s="5" t="str">
        <f>IFERROR(VLOOKUP(I127,'ATP - Keywords'!$E:$E,1,FALSE),"#N/A")</f>
        <v>https://www.columvi.com/starting-columvi/how-columvi-is-given.html</v>
      </c>
      <c r="K127" s="5" t="str">
        <f t="shared" si="1"/>
        <v>https://www.columvi.com/starting-columvi/how-columvi-is-given.html?c=gft-18903220006</v>
      </c>
      <c r="L127" s="5" t="b">
        <v>1</v>
      </c>
      <c r="M127" s="5" t="s">
        <v>3</v>
      </c>
    </row>
    <row r="128" spans="1:13" ht="15.75" customHeight="1" x14ac:dyDescent="0.3">
      <c r="A128" s="5" t="s">
        <v>93</v>
      </c>
      <c r="B128" s="5" t="s">
        <v>112</v>
      </c>
      <c r="C128" s="5" t="s">
        <v>113</v>
      </c>
      <c r="D128" s="2" t="str">
        <f>IFERROR(VLOOKUP(C128,'ATP - Keywords'!$B:$B,1,FALSE),"#N/A")</f>
        <v>Unbranded DLBCL Dosing</v>
      </c>
      <c r="E128" s="5" t="s">
        <v>264</v>
      </c>
      <c r="F128" s="2" t="str">
        <f>IFERROR(VLOOKUP(E128,'ATP - Keywords'!$C:$C,1,FALSE),"#N/A")</f>
        <v>dlbcl infusion</v>
      </c>
      <c r="G128" s="5" t="s">
        <v>131</v>
      </c>
      <c r="H128" s="5" t="s">
        <v>253</v>
      </c>
      <c r="I128" s="5" t="s">
        <v>107</v>
      </c>
      <c r="J128" s="5" t="str">
        <f>IFERROR(VLOOKUP(I128,'ATP - Keywords'!$E:$E,1,FALSE),"#N/A")</f>
        <v>https://www.columvi.com/starting-columvi/how-columvi-is-given.html</v>
      </c>
      <c r="K128" s="5" t="str">
        <f t="shared" si="1"/>
        <v>https://www.columvi.com/starting-columvi/how-columvi-is-given.html?c=gft-18903220006</v>
      </c>
      <c r="L128" s="5" t="b">
        <v>1</v>
      </c>
      <c r="M128" s="5" t="s">
        <v>3</v>
      </c>
    </row>
    <row r="129" spans="1:13" ht="15.75" customHeight="1" x14ac:dyDescent="0.3">
      <c r="A129" s="5" t="s">
        <v>93</v>
      </c>
      <c r="B129" s="5" t="s">
        <v>112</v>
      </c>
      <c r="C129" s="5" t="s">
        <v>113</v>
      </c>
      <c r="D129" s="2" t="str">
        <f>IFERROR(VLOOKUP(C129,'ATP - Keywords'!$B:$B,1,FALSE),"#N/A")</f>
        <v>Unbranded DLBCL Dosing</v>
      </c>
      <c r="E129" s="5" t="s">
        <v>508</v>
      </c>
      <c r="F129" s="229" t="str">
        <f>IFERROR(VLOOKUP(E129,'ATP - Keywords'!$C:$C,1,FALSE),"#N/A")</f>
        <v>#N/A</v>
      </c>
      <c r="G129" s="5" t="s">
        <v>131</v>
      </c>
      <c r="H129" s="5" t="s">
        <v>253</v>
      </c>
      <c r="I129" s="5" t="s">
        <v>107</v>
      </c>
      <c r="J129" s="5" t="str">
        <f>IFERROR(VLOOKUP(I129,'ATP - Keywords'!$E:$E,1,FALSE),"#N/A")</f>
        <v>https://www.columvi.com/starting-columvi/how-columvi-is-given.html</v>
      </c>
      <c r="K129" s="5" t="str">
        <f t="shared" si="1"/>
        <v>https://www.columvi.com/starting-columvi/how-columvi-is-given.html?c=gft-18903220006</v>
      </c>
      <c r="L129" s="5" t="b">
        <v>1</v>
      </c>
      <c r="M129" s="5" t="s">
        <v>3</v>
      </c>
    </row>
    <row r="130" spans="1:13" ht="15.75" customHeight="1" x14ac:dyDescent="0.3">
      <c r="A130" s="5" t="s">
        <v>93</v>
      </c>
      <c r="B130" s="5" t="s">
        <v>112</v>
      </c>
      <c r="C130" s="5" t="s">
        <v>113</v>
      </c>
      <c r="D130" s="2" t="str">
        <f>IFERROR(VLOOKUP(C130,'ATP - Keywords'!$B:$B,1,FALSE),"#N/A")</f>
        <v>Unbranded DLBCL Dosing</v>
      </c>
      <c r="E130" s="5" t="s">
        <v>266</v>
      </c>
      <c r="F130" s="2" t="str">
        <f>IFERROR(VLOOKUP(E130,'ATP - Keywords'!$C:$C,1,FALSE),"#N/A")</f>
        <v>large b cell lymphoma infusion</v>
      </c>
      <c r="G130" s="5" t="s">
        <v>131</v>
      </c>
      <c r="H130" s="5" t="s">
        <v>253</v>
      </c>
      <c r="I130" s="5" t="s">
        <v>107</v>
      </c>
      <c r="J130" s="5" t="str">
        <f>IFERROR(VLOOKUP(I130,'ATP - Keywords'!$E:$E,1,FALSE),"#N/A")</f>
        <v>https://www.columvi.com/starting-columvi/how-columvi-is-given.html</v>
      </c>
      <c r="K130" s="5" t="str">
        <f t="shared" ref="K130:K193" si="2">CONCATENATE(J130,"?c=",M130)</f>
        <v>https://www.columvi.com/starting-columvi/how-columvi-is-given.html?c=gft-18903220006</v>
      </c>
      <c r="L130" s="5" t="b">
        <v>1</v>
      </c>
      <c r="M130" s="5" t="s">
        <v>3</v>
      </c>
    </row>
    <row r="131" spans="1:13" ht="15.75" customHeight="1" x14ac:dyDescent="0.3">
      <c r="A131" s="5" t="s">
        <v>93</v>
      </c>
      <c r="B131" s="5" t="s">
        <v>112</v>
      </c>
      <c r="C131" s="5" t="s">
        <v>113</v>
      </c>
      <c r="D131" s="2" t="str">
        <f>IFERROR(VLOOKUP(C131,'ATP - Keywords'!$B:$B,1,FALSE),"#N/A")</f>
        <v>Unbranded DLBCL Dosing</v>
      </c>
      <c r="E131" s="5" t="s">
        <v>267</v>
      </c>
      <c r="F131" s="2" t="str">
        <f>IFERROR(VLOOKUP(E131,'ATP - Keywords'!$C:$C,1,FALSE),"#N/A")</f>
        <v>large b cell dosing information</v>
      </c>
      <c r="G131" s="5" t="s">
        <v>131</v>
      </c>
      <c r="H131" s="5" t="s">
        <v>253</v>
      </c>
      <c r="I131" s="5" t="s">
        <v>107</v>
      </c>
      <c r="J131" s="5" t="str">
        <f>IFERROR(VLOOKUP(I131,'ATP - Keywords'!$E:$E,1,FALSE),"#N/A")</f>
        <v>https://www.columvi.com/starting-columvi/how-columvi-is-given.html</v>
      </c>
      <c r="K131" s="5" t="str">
        <f t="shared" si="2"/>
        <v>https://www.columvi.com/starting-columvi/how-columvi-is-given.html?c=gft-18903220006</v>
      </c>
      <c r="L131" s="5" t="b">
        <v>1</v>
      </c>
      <c r="M131" s="5" t="s">
        <v>3</v>
      </c>
    </row>
    <row r="132" spans="1:13" ht="15.75" customHeight="1" x14ac:dyDescent="0.3">
      <c r="A132" s="5" t="s">
        <v>93</v>
      </c>
      <c r="B132" s="5" t="s">
        <v>112</v>
      </c>
      <c r="C132" s="5" t="s">
        <v>113</v>
      </c>
      <c r="D132" s="2" t="str">
        <f>IFERROR(VLOOKUP(C132,'ATP - Keywords'!$B:$B,1,FALSE),"#N/A")</f>
        <v>Unbranded DLBCL Dosing</v>
      </c>
      <c r="E132" s="5" t="s">
        <v>268</v>
      </c>
      <c r="F132" s="2" t="str">
        <f>IFERROR(VLOOKUP(E132,'ATP - Keywords'!$C:$C,1,FALSE),"#N/A")</f>
        <v>large b cell dosing and administration information</v>
      </c>
      <c r="G132" s="5" t="s">
        <v>131</v>
      </c>
      <c r="H132" s="5" t="s">
        <v>253</v>
      </c>
      <c r="I132" s="5" t="s">
        <v>107</v>
      </c>
      <c r="J132" s="5" t="str">
        <f>IFERROR(VLOOKUP(I132,'ATP - Keywords'!$E:$E,1,FALSE),"#N/A")</f>
        <v>https://www.columvi.com/starting-columvi/how-columvi-is-given.html</v>
      </c>
      <c r="K132" s="5" t="str">
        <f t="shared" si="2"/>
        <v>https://www.columvi.com/starting-columvi/how-columvi-is-given.html?c=gft-18903220006</v>
      </c>
      <c r="L132" s="5" t="b">
        <v>1</v>
      </c>
      <c r="M132" s="5" t="s">
        <v>3</v>
      </c>
    </row>
    <row r="133" spans="1:13" ht="15.75" customHeight="1" x14ac:dyDescent="0.3">
      <c r="A133" s="2" t="s">
        <v>114</v>
      </c>
      <c r="B133" s="2" t="s">
        <v>115</v>
      </c>
      <c r="C133" s="2" t="s">
        <v>46</v>
      </c>
      <c r="D133" s="2" t="str">
        <f>IFERROR(VLOOKUP(C133,'ATP - Keywords'!$B:$B,1,FALSE),"#N/A")</f>
        <v>Unbranded Condition</v>
      </c>
      <c r="E133" s="2" t="s">
        <v>130</v>
      </c>
      <c r="F133" s="2" t="str">
        <f>IFERROR(VLOOKUP(E133,'ATP - Keywords'!$C:$C,1,FALSE),"#N/A")</f>
        <v>about large b cell lymphoma</v>
      </c>
      <c r="G133" s="2" t="s">
        <v>269</v>
      </c>
      <c r="H133" s="2" t="s">
        <v>132</v>
      </c>
      <c r="I133" s="2" t="s">
        <v>69</v>
      </c>
      <c r="J133" s="2" t="str">
        <f>IFERROR(VLOOKUP(I133,'ATP - Keywords'!$E:$E,1,FALSE),"#N/A")</f>
        <v>https://www.columvi.com/about/what-is-DLBCL.html</v>
      </c>
      <c r="K133" s="2" t="str">
        <f t="shared" si="2"/>
        <v>https://www.columvi.com/about/what-is-DLBCL.html?c=gft-18903220006</v>
      </c>
      <c r="L133" s="2" t="b">
        <v>1</v>
      </c>
      <c r="M133" s="2" t="s">
        <v>3</v>
      </c>
    </row>
    <row r="134" spans="1:13" ht="15.75" customHeight="1" x14ac:dyDescent="0.3">
      <c r="A134" s="2" t="s">
        <v>114</v>
      </c>
      <c r="B134" s="2" t="s">
        <v>115</v>
      </c>
      <c r="C134" s="2" t="s">
        <v>46</v>
      </c>
      <c r="D134" s="2" t="str">
        <f>IFERROR(VLOOKUP(C134,'ATP - Keywords'!$B:$B,1,FALSE),"#N/A")</f>
        <v>Unbranded Condition</v>
      </c>
      <c r="E134" s="2" t="s">
        <v>133</v>
      </c>
      <c r="F134" s="2" t="str">
        <f>IFERROR(VLOOKUP(E134,'ATP - Keywords'!$C:$C,1,FALSE),"#N/A")</f>
        <v>about dlbcl</v>
      </c>
      <c r="G134" s="2" t="s">
        <v>269</v>
      </c>
      <c r="H134" s="2" t="s">
        <v>132</v>
      </c>
      <c r="I134" s="2" t="s">
        <v>69</v>
      </c>
      <c r="J134" s="2" t="str">
        <f>IFERROR(VLOOKUP(I134,'ATP - Keywords'!$E:$E,1,FALSE),"#N/A")</f>
        <v>https://www.columvi.com/about/what-is-DLBCL.html</v>
      </c>
      <c r="K134" s="2" t="str">
        <f t="shared" si="2"/>
        <v>https://www.columvi.com/about/what-is-DLBCL.html?c=gft-18903220006</v>
      </c>
      <c r="L134" s="2" t="b">
        <v>1</v>
      </c>
      <c r="M134" s="2" t="s">
        <v>3</v>
      </c>
    </row>
    <row r="135" spans="1:13" ht="15.75" customHeight="1" x14ac:dyDescent="0.3">
      <c r="A135" s="2" t="s">
        <v>114</v>
      </c>
      <c r="B135" s="2" t="s">
        <v>115</v>
      </c>
      <c r="C135" s="2" t="s">
        <v>46</v>
      </c>
      <c r="D135" s="2" t="str">
        <f>IFERROR(VLOOKUP(C135,'ATP - Keywords'!$B:$B,1,FALSE),"#N/A")</f>
        <v>Unbranded Condition</v>
      </c>
      <c r="E135" s="2" t="s">
        <v>134</v>
      </c>
      <c r="F135" s="2" t="str">
        <f>IFERROR(VLOOKUP(E135,'ATP - Keywords'!$C:$C,1,FALSE),"#N/A")</f>
        <v>large b cell</v>
      </c>
      <c r="G135" s="2" t="s">
        <v>269</v>
      </c>
      <c r="H135" s="2" t="s">
        <v>132</v>
      </c>
      <c r="I135" s="2" t="s">
        <v>69</v>
      </c>
      <c r="J135" s="2" t="str">
        <f>IFERROR(VLOOKUP(I135,'ATP - Keywords'!$E:$E,1,FALSE),"#N/A")</f>
        <v>https://www.columvi.com/about/what-is-DLBCL.html</v>
      </c>
      <c r="K135" s="2" t="str">
        <f t="shared" si="2"/>
        <v>https://www.columvi.com/about/what-is-DLBCL.html?c=gft-18903220006</v>
      </c>
      <c r="L135" s="2" t="b">
        <v>1</v>
      </c>
      <c r="M135" s="2" t="s">
        <v>3</v>
      </c>
    </row>
    <row r="136" spans="1:13" ht="15.75" customHeight="1" x14ac:dyDescent="0.3">
      <c r="A136" s="2" t="s">
        <v>114</v>
      </c>
      <c r="B136" s="2" t="s">
        <v>115</v>
      </c>
      <c r="C136" s="2" t="s">
        <v>46</v>
      </c>
      <c r="D136" s="2" t="str">
        <f>IFERROR(VLOOKUP(C136,'ATP - Keywords'!$B:$B,1,FALSE),"#N/A")</f>
        <v>Unbranded Condition</v>
      </c>
      <c r="E136" s="2" t="s">
        <v>135</v>
      </c>
      <c r="F136" s="2" t="str">
        <f>IFERROR(VLOOKUP(E136,'ATP - Keywords'!$C:$C,1,FALSE),"#N/A")</f>
        <v>large b lymphoma</v>
      </c>
      <c r="G136" s="2" t="s">
        <v>269</v>
      </c>
      <c r="H136" s="2" t="s">
        <v>132</v>
      </c>
      <c r="I136" s="2" t="s">
        <v>69</v>
      </c>
      <c r="J136" s="2" t="str">
        <f>IFERROR(VLOOKUP(I136,'ATP - Keywords'!$E:$E,1,FALSE),"#N/A")</f>
        <v>https://www.columvi.com/about/what-is-DLBCL.html</v>
      </c>
      <c r="K136" s="2" t="str">
        <f t="shared" si="2"/>
        <v>https://www.columvi.com/about/what-is-DLBCL.html?c=gft-18903220006</v>
      </c>
      <c r="L136" s="2" t="b">
        <v>1</v>
      </c>
      <c r="M136" s="2" t="s">
        <v>3</v>
      </c>
    </row>
    <row r="137" spans="1:13" ht="15.75" customHeight="1" x14ac:dyDescent="0.3">
      <c r="A137" s="2" t="s">
        <v>114</v>
      </c>
      <c r="B137" s="2" t="s">
        <v>115</v>
      </c>
      <c r="C137" s="2" t="s">
        <v>46</v>
      </c>
      <c r="D137" s="2" t="str">
        <f>IFERROR(VLOOKUP(C137,'ATP - Keywords'!$B:$B,1,FALSE),"#N/A")</f>
        <v>Unbranded Condition</v>
      </c>
      <c r="E137" s="2" t="s">
        <v>136</v>
      </c>
      <c r="F137" s="2" t="str">
        <f>IFERROR(VLOOKUP(E137,'ATP - Keywords'!$C:$C,1,FALSE),"#N/A")</f>
        <v>large cell b lymphoma</v>
      </c>
      <c r="G137" s="2" t="s">
        <v>269</v>
      </c>
      <c r="H137" s="2" t="s">
        <v>132</v>
      </c>
      <c r="I137" s="2" t="s">
        <v>69</v>
      </c>
      <c r="J137" s="2" t="str">
        <f>IFERROR(VLOOKUP(I137,'ATP - Keywords'!$E:$E,1,FALSE),"#N/A")</f>
        <v>https://www.columvi.com/about/what-is-DLBCL.html</v>
      </c>
      <c r="K137" s="2" t="str">
        <f t="shared" si="2"/>
        <v>https://www.columvi.com/about/what-is-DLBCL.html?c=gft-18903220006</v>
      </c>
      <c r="L137" s="2" t="b">
        <v>1</v>
      </c>
      <c r="M137" s="2" t="s">
        <v>3</v>
      </c>
    </row>
    <row r="138" spans="1:13" ht="15.75" customHeight="1" x14ac:dyDescent="0.3">
      <c r="A138" s="2" t="s">
        <v>114</v>
      </c>
      <c r="B138" s="2" t="s">
        <v>115</v>
      </c>
      <c r="C138" s="2" t="s">
        <v>46</v>
      </c>
      <c r="D138" s="2" t="str">
        <f>IFERROR(VLOOKUP(C138,'ATP - Keywords'!$B:$B,1,FALSE),"#N/A")</f>
        <v>Unbranded Condition</v>
      </c>
      <c r="E138" s="2" t="s">
        <v>137</v>
      </c>
      <c r="F138" s="2" t="str">
        <f>IFERROR(VLOOKUP(E138,'ATP - Keywords'!$C:$C,1,FALSE),"#N/A")</f>
        <v>dlbcl</v>
      </c>
      <c r="G138" s="2" t="s">
        <v>269</v>
      </c>
      <c r="H138" s="2" t="s">
        <v>132</v>
      </c>
      <c r="I138" s="2" t="s">
        <v>69</v>
      </c>
      <c r="J138" s="2" t="str">
        <f>IFERROR(VLOOKUP(I138,'ATP - Keywords'!$E:$E,1,FALSE),"#N/A")</f>
        <v>https://www.columvi.com/about/what-is-DLBCL.html</v>
      </c>
      <c r="K138" s="2" t="str">
        <f t="shared" si="2"/>
        <v>https://www.columvi.com/about/what-is-DLBCL.html?c=gft-18903220006</v>
      </c>
      <c r="L138" s="2" t="b">
        <v>1</v>
      </c>
      <c r="M138" s="2" t="s">
        <v>3</v>
      </c>
    </row>
    <row r="139" spans="1:13" ht="15.75" customHeight="1" x14ac:dyDescent="0.3">
      <c r="A139" s="2" t="s">
        <v>114</v>
      </c>
      <c r="B139" s="2" t="s">
        <v>115</v>
      </c>
      <c r="C139" s="2" t="s">
        <v>46</v>
      </c>
      <c r="D139" s="2" t="str">
        <f>IFERROR(VLOOKUP(C139,'ATP - Keywords'!$B:$B,1,FALSE),"#N/A")</f>
        <v>Unbranded Condition</v>
      </c>
      <c r="E139" s="2" t="s">
        <v>138</v>
      </c>
      <c r="F139" s="2" t="str">
        <f>IFERROR(VLOOKUP(E139,'ATP - Keywords'!$C:$C,1,FALSE),"#N/A")</f>
        <v>dlbcl cancer</v>
      </c>
      <c r="G139" s="2" t="s">
        <v>269</v>
      </c>
      <c r="H139" s="2" t="s">
        <v>132</v>
      </c>
      <c r="I139" s="2" t="s">
        <v>69</v>
      </c>
      <c r="J139" s="2" t="str">
        <f>IFERROR(VLOOKUP(I139,'ATP - Keywords'!$E:$E,1,FALSE),"#N/A")</f>
        <v>https://www.columvi.com/about/what-is-DLBCL.html</v>
      </c>
      <c r="K139" s="2" t="str">
        <f t="shared" si="2"/>
        <v>https://www.columvi.com/about/what-is-DLBCL.html?c=gft-18903220006</v>
      </c>
      <c r="L139" s="2" t="b">
        <v>1</v>
      </c>
      <c r="M139" s="2" t="s">
        <v>3</v>
      </c>
    </row>
    <row r="140" spans="1:13" ht="15.75" customHeight="1" x14ac:dyDescent="0.3">
      <c r="A140" s="2" t="s">
        <v>114</v>
      </c>
      <c r="B140" s="2" t="s">
        <v>115</v>
      </c>
      <c r="C140" s="2" t="s">
        <v>46</v>
      </c>
      <c r="D140" s="2" t="str">
        <f>IFERROR(VLOOKUP(C140,'ATP - Keywords'!$B:$B,1,FALSE),"#N/A")</f>
        <v>Unbranded Condition</v>
      </c>
      <c r="E140" s="2" t="s">
        <v>139</v>
      </c>
      <c r="F140" s="2" t="str">
        <f>IFERROR(VLOOKUP(E140,'ATP - Keywords'!$C:$C,1,FALSE),"#N/A")</f>
        <v>dlbcl lymphoma</v>
      </c>
      <c r="G140" s="2" t="s">
        <v>269</v>
      </c>
      <c r="H140" s="2" t="s">
        <v>132</v>
      </c>
      <c r="I140" s="2" t="s">
        <v>69</v>
      </c>
      <c r="J140" s="2" t="str">
        <f>IFERROR(VLOOKUP(I140,'ATP - Keywords'!$E:$E,1,FALSE),"#N/A")</f>
        <v>https://www.columvi.com/about/what-is-DLBCL.html</v>
      </c>
      <c r="K140" s="2" t="str">
        <f t="shared" si="2"/>
        <v>https://www.columvi.com/about/what-is-DLBCL.html?c=gft-18903220006</v>
      </c>
      <c r="L140" s="2" t="b">
        <v>1</v>
      </c>
      <c r="M140" s="2" t="s">
        <v>3</v>
      </c>
    </row>
    <row r="141" spans="1:13" ht="15.75" customHeight="1" x14ac:dyDescent="0.3">
      <c r="A141" s="2" t="s">
        <v>114</v>
      </c>
      <c r="B141" s="2" t="s">
        <v>115</v>
      </c>
      <c r="C141" s="2" t="s">
        <v>46</v>
      </c>
      <c r="D141" s="2" t="str">
        <f>IFERROR(VLOOKUP(C141,'ATP - Keywords'!$B:$B,1,FALSE),"#N/A")</f>
        <v>Unbranded Condition</v>
      </c>
      <c r="E141" s="2" t="s">
        <v>140</v>
      </c>
      <c r="F141" s="2" t="str">
        <f>IFERROR(VLOOKUP(E141,'ATP - Keywords'!$C:$C,1,FALSE),"#N/A")</f>
        <v>lymphoma b</v>
      </c>
      <c r="G141" s="2" t="s">
        <v>269</v>
      </c>
      <c r="H141" s="2" t="s">
        <v>132</v>
      </c>
      <c r="I141" s="2" t="s">
        <v>69</v>
      </c>
      <c r="J141" s="2" t="str">
        <f>IFERROR(VLOOKUP(I141,'ATP - Keywords'!$E:$E,1,FALSE),"#N/A")</f>
        <v>https://www.columvi.com/about/what-is-DLBCL.html</v>
      </c>
      <c r="K141" s="2" t="str">
        <f t="shared" si="2"/>
        <v>https://www.columvi.com/about/what-is-DLBCL.html?c=gft-18903220006</v>
      </c>
      <c r="L141" s="2" t="b">
        <v>1</v>
      </c>
      <c r="M141" s="2" t="s">
        <v>3</v>
      </c>
    </row>
    <row r="142" spans="1:13" ht="15.75" customHeight="1" x14ac:dyDescent="0.3">
      <c r="A142" s="2" t="s">
        <v>114</v>
      </c>
      <c r="B142" s="2" t="s">
        <v>115</v>
      </c>
      <c r="C142" s="2" t="s">
        <v>46</v>
      </c>
      <c r="D142" s="2" t="str">
        <f>IFERROR(VLOOKUP(C142,'ATP - Keywords'!$B:$B,1,FALSE),"#N/A")</f>
        <v>Unbranded Condition</v>
      </c>
      <c r="E142" s="2" t="s">
        <v>141</v>
      </c>
      <c r="F142" s="2" t="str">
        <f>IFERROR(VLOOKUP(E142,'ATP - Keywords'!$C:$C,1,FALSE),"#N/A")</f>
        <v>type b lymphoma</v>
      </c>
      <c r="G142" s="2" t="s">
        <v>269</v>
      </c>
      <c r="H142" s="2" t="s">
        <v>132</v>
      </c>
      <c r="I142" s="2" t="s">
        <v>69</v>
      </c>
      <c r="J142" s="2" t="str">
        <f>IFERROR(VLOOKUP(I142,'ATP - Keywords'!$E:$E,1,FALSE),"#N/A")</f>
        <v>https://www.columvi.com/about/what-is-DLBCL.html</v>
      </c>
      <c r="K142" s="2" t="str">
        <f t="shared" si="2"/>
        <v>https://www.columvi.com/about/what-is-DLBCL.html?c=gft-18903220006</v>
      </c>
      <c r="L142" s="2" t="b">
        <v>1</v>
      </c>
      <c r="M142" s="2" t="s">
        <v>3</v>
      </c>
    </row>
    <row r="143" spans="1:13" ht="15.75" customHeight="1" x14ac:dyDescent="0.3">
      <c r="A143" s="2" t="s">
        <v>114</v>
      </c>
      <c r="B143" s="2" t="s">
        <v>115</v>
      </c>
      <c r="C143" s="2" t="s">
        <v>46</v>
      </c>
      <c r="D143" s="2" t="str">
        <f>IFERROR(VLOOKUP(C143,'ATP - Keywords'!$B:$B,1,FALSE),"#N/A")</f>
        <v>Unbranded Condition</v>
      </c>
      <c r="E143" s="2" t="s">
        <v>142</v>
      </c>
      <c r="F143" s="2" t="str">
        <f>IFERROR(VLOOKUP(E143,'ATP - Keywords'!$C:$C,1,FALSE),"#N/A")</f>
        <v>what is large b cell lymphoma</v>
      </c>
      <c r="G143" s="2" t="s">
        <v>269</v>
      </c>
      <c r="H143" s="2" t="s">
        <v>132</v>
      </c>
      <c r="I143" s="2" t="s">
        <v>69</v>
      </c>
      <c r="J143" s="2" t="str">
        <f>IFERROR(VLOOKUP(I143,'ATP - Keywords'!$E:$E,1,FALSE),"#N/A")</f>
        <v>https://www.columvi.com/about/what-is-DLBCL.html</v>
      </c>
      <c r="K143" s="2" t="str">
        <f t="shared" si="2"/>
        <v>https://www.columvi.com/about/what-is-DLBCL.html?c=gft-18903220006</v>
      </c>
      <c r="L143" s="2" t="b">
        <v>1</v>
      </c>
      <c r="M143" s="2" t="s">
        <v>3</v>
      </c>
    </row>
    <row r="144" spans="1:13" ht="15.75" customHeight="1" x14ac:dyDescent="0.3">
      <c r="A144" s="2" t="s">
        <v>114</v>
      </c>
      <c r="B144" s="2" t="s">
        <v>115</v>
      </c>
      <c r="C144" s="2" t="s">
        <v>46</v>
      </c>
      <c r="D144" s="2" t="str">
        <f>IFERROR(VLOOKUP(C144,'ATP - Keywords'!$B:$B,1,FALSE),"#N/A")</f>
        <v>Unbranded Condition</v>
      </c>
      <c r="E144" s="2" t="s">
        <v>143</v>
      </c>
      <c r="F144" s="2" t="str">
        <f>IFERROR(VLOOKUP(E144,'ATP - Keywords'!$C:$C,1,FALSE),"#N/A")</f>
        <v>what is dlbcl</v>
      </c>
      <c r="G144" s="2" t="s">
        <v>269</v>
      </c>
      <c r="H144" s="2" t="s">
        <v>132</v>
      </c>
      <c r="I144" s="2" t="s">
        <v>69</v>
      </c>
      <c r="J144" s="2" t="str">
        <f>IFERROR(VLOOKUP(I144,'ATP - Keywords'!$E:$E,1,FALSE),"#N/A")</f>
        <v>https://www.columvi.com/about/what-is-DLBCL.html</v>
      </c>
      <c r="K144" s="2" t="str">
        <f t="shared" si="2"/>
        <v>https://www.columvi.com/about/what-is-DLBCL.html?c=gft-18903220006</v>
      </c>
      <c r="L144" s="2" t="b">
        <v>1</v>
      </c>
      <c r="M144" s="2" t="s">
        <v>3</v>
      </c>
    </row>
    <row r="145" spans="1:13" ht="15.75" customHeight="1" x14ac:dyDescent="0.3">
      <c r="A145" s="2" t="s">
        <v>114</v>
      </c>
      <c r="B145" s="2" t="s">
        <v>115</v>
      </c>
      <c r="C145" s="2" t="s">
        <v>46</v>
      </c>
      <c r="D145" s="2" t="str">
        <f>IFERROR(VLOOKUP(C145,'ATP - Keywords'!$B:$B,1,FALSE),"#N/A")</f>
        <v>Unbranded Condition</v>
      </c>
      <c r="E145" s="2" t="s">
        <v>144</v>
      </c>
      <c r="F145" s="2" t="str">
        <f>IFERROR(VLOOKUP(E145,'ATP - Keywords'!$C:$C,1,FALSE),"#N/A")</f>
        <v>b cell large diffuse</v>
      </c>
      <c r="G145" s="2" t="s">
        <v>269</v>
      </c>
      <c r="H145" s="2" t="s">
        <v>132</v>
      </c>
      <c r="I145" s="2" t="s">
        <v>69</v>
      </c>
      <c r="J145" s="2" t="str">
        <f>IFERROR(VLOOKUP(I145,'ATP - Keywords'!$E:$E,1,FALSE),"#N/A")</f>
        <v>https://www.columvi.com/about/what-is-DLBCL.html</v>
      </c>
      <c r="K145" s="2" t="str">
        <f t="shared" si="2"/>
        <v>https://www.columvi.com/about/what-is-DLBCL.html?c=gft-18903220006</v>
      </c>
      <c r="L145" s="2" t="b">
        <v>1</v>
      </c>
      <c r="M145" s="2" t="s">
        <v>3</v>
      </c>
    </row>
    <row r="146" spans="1:13" ht="15.75" customHeight="1" x14ac:dyDescent="0.3">
      <c r="A146" s="2" t="s">
        <v>114</v>
      </c>
      <c r="B146" s="2" t="s">
        <v>115</v>
      </c>
      <c r="C146" s="2" t="s">
        <v>46</v>
      </c>
      <c r="D146" s="2" t="str">
        <f>IFERROR(VLOOKUP(C146,'ATP - Keywords'!$B:$B,1,FALSE),"#N/A")</f>
        <v>Unbranded Condition</v>
      </c>
      <c r="E146" s="2" t="s">
        <v>145</v>
      </c>
      <c r="F146" s="2" t="str">
        <f>IFERROR(VLOOKUP(E146,'ATP - Keywords'!$C:$C,1,FALSE),"#N/A")</f>
        <v>lymphoma and large b cell</v>
      </c>
      <c r="G146" s="2" t="s">
        <v>269</v>
      </c>
      <c r="H146" s="2" t="s">
        <v>132</v>
      </c>
      <c r="I146" s="2" t="s">
        <v>69</v>
      </c>
      <c r="J146" s="2" t="str">
        <f>IFERROR(VLOOKUP(I146,'ATP - Keywords'!$E:$E,1,FALSE),"#N/A")</f>
        <v>https://www.columvi.com/about/what-is-DLBCL.html</v>
      </c>
      <c r="K146" s="2" t="str">
        <f t="shared" si="2"/>
        <v>https://www.columvi.com/about/what-is-DLBCL.html?c=gft-18903220006</v>
      </c>
      <c r="L146" s="2" t="b">
        <v>1</v>
      </c>
      <c r="M146" s="2" t="s">
        <v>3</v>
      </c>
    </row>
    <row r="147" spans="1:13" ht="15.75" customHeight="1" x14ac:dyDescent="0.3">
      <c r="A147" s="2" t="s">
        <v>114</v>
      </c>
      <c r="B147" s="2" t="s">
        <v>115</v>
      </c>
      <c r="C147" s="2" t="s">
        <v>46</v>
      </c>
      <c r="D147" s="2" t="str">
        <f>IFERROR(VLOOKUP(C147,'ATP - Keywords'!$B:$B,1,FALSE),"#N/A")</f>
        <v>Unbranded Condition</v>
      </c>
      <c r="E147" s="2" t="s">
        <v>146</v>
      </c>
      <c r="F147" s="2" t="str">
        <f>IFERROR(VLOOKUP(E147,'ATP - Keywords'!$C:$C,1,FALSE),"#N/A")</f>
        <v>diffuse large b cell lymphoma</v>
      </c>
      <c r="G147" s="2" t="s">
        <v>269</v>
      </c>
      <c r="H147" s="2" t="s">
        <v>132</v>
      </c>
      <c r="I147" s="2" t="s">
        <v>69</v>
      </c>
      <c r="J147" s="2" t="str">
        <f>IFERROR(VLOOKUP(I147,'ATP - Keywords'!$E:$E,1,FALSE),"#N/A")</f>
        <v>https://www.columvi.com/about/what-is-DLBCL.html</v>
      </c>
      <c r="K147" s="2" t="str">
        <f t="shared" si="2"/>
        <v>https://www.columvi.com/about/what-is-DLBCL.html?c=gft-18903220006</v>
      </c>
      <c r="L147" s="2" t="b">
        <v>1</v>
      </c>
      <c r="M147" s="2" t="s">
        <v>3</v>
      </c>
    </row>
    <row r="148" spans="1:13" ht="15.75" customHeight="1" x14ac:dyDescent="0.3">
      <c r="A148" s="2" t="s">
        <v>114</v>
      </c>
      <c r="B148" s="2" t="s">
        <v>115</v>
      </c>
      <c r="C148" s="2" t="s">
        <v>46</v>
      </c>
      <c r="D148" s="2" t="str">
        <f>IFERROR(VLOOKUP(C148,'ATP - Keywords'!$B:$B,1,FALSE),"#N/A")</f>
        <v>Unbranded Condition</v>
      </c>
      <c r="E148" s="2" t="s">
        <v>147</v>
      </c>
      <c r="F148" s="2" t="str">
        <f>IFERROR(VLOOKUP(E148,'ATP - Keywords'!$C:$C,1,FALSE),"#N/A")</f>
        <v>dlbcl fda approval</v>
      </c>
      <c r="G148" s="2" t="s">
        <v>269</v>
      </c>
      <c r="H148" s="2" t="s">
        <v>132</v>
      </c>
      <c r="I148" s="2" t="s">
        <v>69</v>
      </c>
      <c r="J148" s="2" t="str">
        <f>IFERROR(VLOOKUP(I148,'ATP - Keywords'!$E:$E,1,FALSE),"#N/A")</f>
        <v>https://www.columvi.com/about/what-is-DLBCL.html</v>
      </c>
      <c r="K148" s="2" t="str">
        <f t="shared" si="2"/>
        <v>https://www.columvi.com/about/what-is-DLBCL.html?c=gft-18903220006</v>
      </c>
      <c r="L148" s="2" t="b">
        <v>1</v>
      </c>
      <c r="M148" s="2" t="s">
        <v>3</v>
      </c>
    </row>
    <row r="149" spans="1:13" ht="15.75" customHeight="1" x14ac:dyDescent="0.3">
      <c r="A149" s="2" t="s">
        <v>114</v>
      </c>
      <c r="B149" s="2" t="s">
        <v>115</v>
      </c>
      <c r="C149" s="2" t="s">
        <v>46</v>
      </c>
      <c r="D149" s="2" t="str">
        <f>IFERROR(VLOOKUP(C149,'ATP - Keywords'!$B:$B,1,FALSE),"#N/A")</f>
        <v>Unbranded Condition</v>
      </c>
      <c r="E149" s="2" t="s">
        <v>148</v>
      </c>
      <c r="F149" s="2" t="str">
        <f>IFERROR(VLOOKUP(E149,'ATP - Keywords'!$C:$C,1,FALSE),"#N/A")</f>
        <v>dlbcl treatment fda approval</v>
      </c>
      <c r="G149" s="2" t="s">
        <v>269</v>
      </c>
      <c r="H149" s="2" t="s">
        <v>132</v>
      </c>
      <c r="I149" s="2" t="s">
        <v>69</v>
      </c>
      <c r="J149" s="2" t="str">
        <f>IFERROR(VLOOKUP(I149,'ATP - Keywords'!$E:$E,1,FALSE),"#N/A")</f>
        <v>https://www.columvi.com/about/what-is-DLBCL.html</v>
      </c>
      <c r="K149" s="2" t="str">
        <f t="shared" si="2"/>
        <v>https://www.columvi.com/about/what-is-DLBCL.html?c=gft-18903220006</v>
      </c>
      <c r="L149" s="2" t="b">
        <v>1</v>
      </c>
      <c r="M149" s="2" t="s">
        <v>3</v>
      </c>
    </row>
    <row r="150" spans="1:13" ht="15.75" customHeight="1" x14ac:dyDescent="0.3">
      <c r="A150" s="2" t="s">
        <v>114</v>
      </c>
      <c r="B150" s="2" t="s">
        <v>115</v>
      </c>
      <c r="C150" s="2" t="s">
        <v>46</v>
      </c>
      <c r="D150" s="2" t="str">
        <f>IFERROR(VLOOKUP(C150,'ATP - Keywords'!$B:$B,1,FALSE),"#N/A")</f>
        <v>Unbranded Condition</v>
      </c>
      <c r="E150" s="2" t="s">
        <v>149</v>
      </c>
      <c r="F150" s="2" t="str">
        <f>IFERROR(VLOOKUP(E150,'ATP - Keywords'!$C:$C,1,FALSE),"#N/A")</f>
        <v>r/r dlbcl</v>
      </c>
      <c r="G150" s="2" t="s">
        <v>269</v>
      </c>
      <c r="H150" s="2" t="s">
        <v>132</v>
      </c>
      <c r="I150" s="2" t="s">
        <v>69</v>
      </c>
      <c r="J150" s="2" t="str">
        <f>IFERROR(VLOOKUP(I150,'ATP - Keywords'!$E:$E,1,FALSE),"#N/A")</f>
        <v>https://www.columvi.com/about/what-is-DLBCL.html</v>
      </c>
      <c r="K150" s="2" t="str">
        <f t="shared" si="2"/>
        <v>https://www.columvi.com/about/what-is-DLBCL.html?c=gft-18903220006</v>
      </c>
      <c r="L150" s="2" t="b">
        <v>1</v>
      </c>
      <c r="M150" s="2" t="s">
        <v>3</v>
      </c>
    </row>
    <row r="151" spans="1:13" ht="15.75" customHeight="1" x14ac:dyDescent="0.3">
      <c r="A151" s="2" t="s">
        <v>114</v>
      </c>
      <c r="B151" s="2" t="s">
        <v>115</v>
      </c>
      <c r="C151" s="2" t="s">
        <v>46</v>
      </c>
      <c r="D151" s="2" t="str">
        <f>IFERROR(VLOOKUP(C151,'ATP - Keywords'!$B:$B,1,FALSE),"#N/A")</f>
        <v>Unbranded Condition</v>
      </c>
      <c r="E151" s="2" t="s">
        <v>150</v>
      </c>
      <c r="F151" s="2" t="str">
        <f>IFERROR(VLOOKUP(E151,'ATP - Keywords'!$C:$C,1,FALSE),"#N/A")</f>
        <v>relapsed or refractory dlbcl</v>
      </c>
      <c r="G151" s="2" t="s">
        <v>269</v>
      </c>
      <c r="H151" s="2" t="s">
        <v>132</v>
      </c>
      <c r="I151" s="2" t="s">
        <v>69</v>
      </c>
      <c r="J151" s="2" t="str">
        <f>IFERROR(VLOOKUP(I151,'ATP - Keywords'!$E:$E,1,FALSE),"#N/A")</f>
        <v>https://www.columvi.com/about/what-is-DLBCL.html</v>
      </c>
      <c r="K151" s="2" t="str">
        <f t="shared" si="2"/>
        <v>https://www.columvi.com/about/what-is-DLBCL.html?c=gft-18903220006</v>
      </c>
      <c r="L151" s="2" t="b">
        <v>1</v>
      </c>
      <c r="M151" s="2" t="s">
        <v>3</v>
      </c>
    </row>
    <row r="152" spans="1:13" ht="15.75" customHeight="1" x14ac:dyDescent="0.3">
      <c r="A152" s="2" t="s">
        <v>114</v>
      </c>
      <c r="B152" s="2" t="s">
        <v>115</v>
      </c>
      <c r="C152" s="2" t="s">
        <v>46</v>
      </c>
      <c r="D152" s="2" t="str">
        <f>IFERROR(VLOOKUP(C152,'ATP - Keywords'!$B:$B,1,FALSE),"#N/A")</f>
        <v>Unbranded Condition</v>
      </c>
      <c r="E152" s="2" t="s">
        <v>151</v>
      </c>
      <c r="F152" s="2" t="str">
        <f>IFERROR(VLOOKUP(E152,'ATP - Keywords'!$C:$C,1,FALSE),"#N/A")</f>
        <v>relapsed or refractory diffuse large b cell lymphoma</v>
      </c>
      <c r="G152" s="2" t="s">
        <v>269</v>
      </c>
      <c r="H152" s="2" t="s">
        <v>132</v>
      </c>
      <c r="I152" s="2" t="s">
        <v>69</v>
      </c>
      <c r="J152" s="2" t="str">
        <f>IFERROR(VLOOKUP(I152,'ATP - Keywords'!$E:$E,1,FALSE),"#N/A")</f>
        <v>https://www.columvi.com/about/what-is-DLBCL.html</v>
      </c>
      <c r="K152" s="2" t="str">
        <f t="shared" si="2"/>
        <v>https://www.columvi.com/about/what-is-DLBCL.html?c=gft-18903220006</v>
      </c>
      <c r="L152" s="2" t="b">
        <v>1</v>
      </c>
      <c r="M152" s="2" t="s">
        <v>3</v>
      </c>
    </row>
    <row r="153" spans="1:13" ht="15.75" customHeight="1" x14ac:dyDescent="0.3">
      <c r="A153" s="2" t="s">
        <v>114</v>
      </c>
      <c r="B153" s="2" t="s">
        <v>115</v>
      </c>
      <c r="C153" s="2" t="s">
        <v>46</v>
      </c>
      <c r="D153" s="2" t="str">
        <f>IFERROR(VLOOKUP(C153,'ATP - Keywords'!$B:$B,1,FALSE),"#N/A")</f>
        <v>Unbranded Condition</v>
      </c>
      <c r="E153" s="2" t="s">
        <v>152</v>
      </c>
      <c r="F153" s="2" t="str">
        <f>IFERROR(VLOOKUP(E153,'ATP - Keywords'!$C:$C,1,FALSE),"#N/A")</f>
        <v>lbcl</v>
      </c>
      <c r="G153" s="2" t="s">
        <v>269</v>
      </c>
      <c r="H153" s="2" t="s">
        <v>132</v>
      </c>
      <c r="I153" s="2" t="s">
        <v>69</v>
      </c>
      <c r="J153" s="2" t="str">
        <f>IFERROR(VLOOKUP(I153,'ATP - Keywords'!$E:$E,1,FALSE),"#N/A")</f>
        <v>https://www.columvi.com/about/what-is-DLBCL.html</v>
      </c>
      <c r="K153" s="2" t="str">
        <f t="shared" si="2"/>
        <v>https://www.columvi.com/about/what-is-DLBCL.html?c=gft-18903220006</v>
      </c>
      <c r="L153" s="2" t="b">
        <v>1</v>
      </c>
      <c r="M153" s="2" t="s">
        <v>3</v>
      </c>
    </row>
    <row r="154" spans="1:13" ht="15.75" customHeight="1" x14ac:dyDescent="0.3">
      <c r="A154" s="2" t="s">
        <v>114</v>
      </c>
      <c r="B154" s="2" t="s">
        <v>115</v>
      </c>
      <c r="C154" s="2" t="s">
        <v>46</v>
      </c>
      <c r="D154" s="2" t="str">
        <f>IFERROR(VLOOKUP(C154,'ATP - Keywords'!$B:$B,1,FALSE),"#N/A")</f>
        <v>Unbranded Condition</v>
      </c>
      <c r="E154" s="2" t="s">
        <v>153</v>
      </c>
      <c r="F154" s="2" t="str">
        <f>IFERROR(VLOOKUP(E154,'ATP - Keywords'!$C:$C,1,FALSE),"#N/A")</f>
        <v>what is the difference between relapsed and refractory dlbcl</v>
      </c>
      <c r="G154" s="2" t="s">
        <v>269</v>
      </c>
      <c r="H154" s="2" t="s">
        <v>132</v>
      </c>
      <c r="I154" s="2" t="s">
        <v>69</v>
      </c>
      <c r="J154" s="2" t="str">
        <f>IFERROR(VLOOKUP(I154,'ATP - Keywords'!$E:$E,1,FALSE),"#N/A")</f>
        <v>https://www.columvi.com/about/what-is-DLBCL.html</v>
      </c>
      <c r="K154" s="2" t="str">
        <f t="shared" si="2"/>
        <v>https://www.columvi.com/about/what-is-DLBCL.html?c=gft-18903220006</v>
      </c>
      <c r="L154" s="2" t="b">
        <v>1</v>
      </c>
      <c r="M154" s="2" t="s">
        <v>3</v>
      </c>
    </row>
    <row r="155" spans="1:13" ht="15.75" customHeight="1" x14ac:dyDescent="0.3">
      <c r="A155" s="2" t="s">
        <v>114</v>
      </c>
      <c r="B155" s="2" t="s">
        <v>115</v>
      </c>
      <c r="C155" s="2" t="s">
        <v>46</v>
      </c>
      <c r="D155" s="2" t="str">
        <f>IFERROR(VLOOKUP(C155,'ATP - Keywords'!$B:$B,1,FALSE),"#N/A")</f>
        <v>Unbranded Condition</v>
      </c>
      <c r="E155" s="2" t="s">
        <v>154</v>
      </c>
      <c r="F155" s="2" t="str">
        <f>IFERROR(VLOOKUP(E155,'ATP - Keywords'!$C:$C,1,FALSE),"#N/A")</f>
        <v>what is relapsed or refractory dlbcl</v>
      </c>
      <c r="G155" s="2" t="s">
        <v>269</v>
      </c>
      <c r="H155" s="2" t="s">
        <v>132</v>
      </c>
      <c r="I155" s="2" t="s">
        <v>69</v>
      </c>
      <c r="J155" s="2" t="str">
        <f>IFERROR(VLOOKUP(I155,'ATP - Keywords'!$E:$E,1,FALSE),"#N/A")</f>
        <v>https://www.columvi.com/about/what-is-DLBCL.html</v>
      </c>
      <c r="K155" s="2" t="str">
        <f t="shared" si="2"/>
        <v>https://www.columvi.com/about/what-is-DLBCL.html?c=gft-18903220006</v>
      </c>
      <c r="L155" s="2" t="b">
        <v>1</v>
      </c>
      <c r="M155" s="2" t="s">
        <v>3</v>
      </c>
    </row>
    <row r="156" spans="1:13" ht="15.75" customHeight="1" x14ac:dyDescent="0.3">
      <c r="A156" s="2" t="s">
        <v>114</v>
      </c>
      <c r="B156" s="2" t="s">
        <v>115</v>
      </c>
      <c r="C156" s="2" t="s">
        <v>46</v>
      </c>
      <c r="D156" s="2" t="str">
        <f>IFERROR(VLOOKUP(C156,'ATP - Keywords'!$B:$B,1,FALSE),"#N/A")</f>
        <v>Unbranded Condition</v>
      </c>
      <c r="E156" s="2" t="s">
        <v>155</v>
      </c>
      <c r="F156" s="2" t="str">
        <f>IFERROR(VLOOKUP(E156,'ATP - Keywords'!$C:$C,1,FALSE),"#N/A")</f>
        <v>relapsed refractory large b cell lymphoma</v>
      </c>
      <c r="G156" s="2" t="s">
        <v>269</v>
      </c>
      <c r="H156" s="2" t="s">
        <v>132</v>
      </c>
      <c r="I156" s="2" t="s">
        <v>69</v>
      </c>
      <c r="J156" s="2" t="str">
        <f>IFERROR(VLOOKUP(I156,'ATP - Keywords'!$E:$E,1,FALSE),"#N/A")</f>
        <v>https://www.columvi.com/about/what-is-DLBCL.html</v>
      </c>
      <c r="K156" s="2" t="str">
        <f t="shared" si="2"/>
        <v>https://www.columvi.com/about/what-is-DLBCL.html?c=gft-18903220006</v>
      </c>
      <c r="L156" s="2" t="b">
        <v>1</v>
      </c>
      <c r="M156" s="2" t="s">
        <v>3</v>
      </c>
    </row>
    <row r="157" spans="1:13" ht="15.75" customHeight="1" x14ac:dyDescent="0.3">
      <c r="A157" s="2" t="s">
        <v>114</v>
      </c>
      <c r="B157" s="2" t="s">
        <v>115</v>
      </c>
      <c r="C157" s="2" t="s">
        <v>46</v>
      </c>
      <c r="D157" s="2" t="str">
        <f>IFERROR(VLOOKUP(C157,'ATP - Keywords'!$B:$B,1,FALSE),"#N/A")</f>
        <v>Unbranded Condition</v>
      </c>
      <c r="E157" s="2" t="s">
        <v>156</v>
      </c>
      <c r="F157" s="2" t="str">
        <f>IFERROR(VLOOKUP(E157,'ATP - Keywords'!$C:$C,1,FALSE),"#N/A")</f>
        <v>types of relapsed refractory large b cell lymphoma</v>
      </c>
      <c r="G157" s="2" t="s">
        <v>269</v>
      </c>
      <c r="H157" s="2" t="s">
        <v>132</v>
      </c>
      <c r="I157" s="2" t="s">
        <v>69</v>
      </c>
      <c r="J157" s="2" t="str">
        <f>IFERROR(VLOOKUP(I157,'ATP - Keywords'!$E:$E,1,FALSE),"#N/A")</f>
        <v>https://www.columvi.com/about/what-is-DLBCL.html</v>
      </c>
      <c r="K157" s="2" t="str">
        <f t="shared" si="2"/>
        <v>https://www.columvi.com/about/what-is-DLBCL.html?c=gft-18903220006</v>
      </c>
      <c r="L157" s="2" t="b">
        <v>1</v>
      </c>
      <c r="M157" s="2" t="s">
        <v>3</v>
      </c>
    </row>
    <row r="158" spans="1:13" ht="15.75" customHeight="1" x14ac:dyDescent="0.3">
      <c r="A158" s="2" t="s">
        <v>114</v>
      </c>
      <c r="B158" s="2" t="s">
        <v>115</v>
      </c>
      <c r="C158" s="2" t="s">
        <v>46</v>
      </c>
      <c r="D158" s="2" t="str">
        <f>IFERROR(VLOOKUP(C158,'ATP - Keywords'!$B:$B,1,FALSE),"#N/A")</f>
        <v>Unbranded Condition</v>
      </c>
      <c r="E158" s="2" t="s">
        <v>157</v>
      </c>
      <c r="F158" s="2" t="str">
        <f>IFERROR(VLOOKUP(E158,'ATP - Keywords'!$C:$C,1,FALSE),"#N/A")</f>
        <v>about relapsed refractory large b cell lymphoma</v>
      </c>
      <c r="G158" s="2" t="s">
        <v>269</v>
      </c>
      <c r="H158" s="2" t="s">
        <v>132</v>
      </c>
      <c r="I158" s="2" t="s">
        <v>69</v>
      </c>
      <c r="J158" s="2" t="str">
        <f>IFERROR(VLOOKUP(I158,'ATP - Keywords'!$E:$E,1,FALSE),"#N/A")</f>
        <v>https://www.columvi.com/about/what-is-DLBCL.html</v>
      </c>
      <c r="K158" s="2" t="str">
        <f t="shared" si="2"/>
        <v>https://www.columvi.com/about/what-is-DLBCL.html?c=gft-18903220006</v>
      </c>
      <c r="L158" s="2" t="b">
        <v>1</v>
      </c>
      <c r="M158" s="2" t="s">
        <v>3</v>
      </c>
    </row>
    <row r="159" spans="1:13" ht="15.75" customHeight="1" x14ac:dyDescent="0.3">
      <c r="A159" s="2" t="s">
        <v>114</v>
      </c>
      <c r="B159" s="2" t="s">
        <v>115</v>
      </c>
      <c r="C159" s="2" t="s">
        <v>46</v>
      </c>
      <c r="D159" s="2" t="str">
        <f>IFERROR(VLOOKUP(C159,'ATP - Keywords'!$B:$B,1,FALSE),"#N/A")</f>
        <v>Unbranded Condition</v>
      </c>
      <c r="E159" s="2" t="s">
        <v>158</v>
      </c>
      <c r="F159" s="2" t="str">
        <f>IFERROR(VLOOKUP(E159,'ATP - Keywords'!$C:$C,1,FALSE),"#N/A")</f>
        <v>lbcl arising from follicular lymphoma</v>
      </c>
      <c r="G159" s="2" t="s">
        <v>269</v>
      </c>
      <c r="H159" s="2" t="s">
        <v>132</v>
      </c>
      <c r="I159" s="2" t="s">
        <v>69</v>
      </c>
      <c r="J159" s="2" t="str">
        <f>IFERROR(VLOOKUP(I159,'ATP - Keywords'!$E:$E,1,FALSE),"#N/A")</f>
        <v>https://www.columvi.com/about/what-is-DLBCL.html</v>
      </c>
      <c r="K159" s="2" t="str">
        <f t="shared" si="2"/>
        <v>https://www.columvi.com/about/what-is-DLBCL.html?c=gft-18903220006</v>
      </c>
      <c r="L159" s="2" t="b">
        <v>1</v>
      </c>
      <c r="M159" s="2" t="s">
        <v>3</v>
      </c>
    </row>
    <row r="160" spans="1:13" ht="15.75" customHeight="1" x14ac:dyDescent="0.3">
      <c r="A160" s="2" t="s">
        <v>114</v>
      </c>
      <c r="B160" s="2" t="s">
        <v>115</v>
      </c>
      <c r="C160" s="2" t="s">
        <v>46</v>
      </c>
      <c r="D160" s="2" t="str">
        <f>IFERROR(VLOOKUP(C160,'ATP - Keywords'!$B:$B,1,FALSE),"#N/A")</f>
        <v>Unbranded Condition</v>
      </c>
      <c r="E160" s="2" t="s">
        <v>159</v>
      </c>
      <c r="F160" s="2" t="str">
        <f>IFERROR(VLOOKUP(E160,'ATP - Keywords'!$C:$C,1,FALSE),"#N/A")</f>
        <v>non hodgkins relapsed refractory large b cell lymphoma</v>
      </c>
      <c r="G160" s="2" t="s">
        <v>269</v>
      </c>
      <c r="H160" s="2" t="s">
        <v>132</v>
      </c>
      <c r="I160" s="2" t="s">
        <v>69</v>
      </c>
      <c r="J160" s="2" t="str">
        <f>IFERROR(VLOOKUP(I160,'ATP - Keywords'!$E:$E,1,FALSE),"#N/A")</f>
        <v>https://www.columvi.com/about/what-is-DLBCL.html</v>
      </c>
      <c r="K160" s="2" t="str">
        <f t="shared" si="2"/>
        <v>https://www.columvi.com/about/what-is-DLBCL.html?c=gft-18903220006</v>
      </c>
      <c r="L160" s="2" t="b">
        <v>1</v>
      </c>
      <c r="M160" s="2" t="s">
        <v>3</v>
      </c>
    </row>
    <row r="161" spans="1:13" ht="15.75" customHeight="1" x14ac:dyDescent="0.3">
      <c r="A161" s="2" t="s">
        <v>114</v>
      </c>
      <c r="B161" s="2" t="s">
        <v>115</v>
      </c>
      <c r="C161" s="2" t="s">
        <v>46</v>
      </c>
      <c r="D161" s="2" t="str">
        <f>IFERROR(VLOOKUP(C161,'ATP - Keywords'!$B:$B,1,FALSE),"#N/A")</f>
        <v>Unbranded Condition</v>
      </c>
      <c r="E161" s="2" t="s">
        <v>160</v>
      </c>
      <c r="F161" s="2" t="str">
        <f>IFERROR(VLOOKUP(E161,'ATP - Keywords'!$C:$C,1,FALSE),"#N/A")</f>
        <v>nhl relapsed refractory large b cell lymphoma</v>
      </c>
      <c r="G161" s="2" t="s">
        <v>269</v>
      </c>
      <c r="H161" s="2" t="s">
        <v>132</v>
      </c>
      <c r="I161" s="2" t="s">
        <v>69</v>
      </c>
      <c r="J161" s="2" t="str">
        <f>IFERROR(VLOOKUP(I161,'ATP - Keywords'!$E:$E,1,FALSE),"#N/A")</f>
        <v>https://www.columvi.com/about/what-is-DLBCL.html</v>
      </c>
      <c r="K161" s="2" t="str">
        <f t="shared" si="2"/>
        <v>https://www.columvi.com/about/what-is-DLBCL.html?c=gft-18903220006</v>
      </c>
      <c r="L161" s="2" t="b">
        <v>1</v>
      </c>
      <c r="M161" s="2" t="s">
        <v>3</v>
      </c>
    </row>
    <row r="162" spans="1:13" ht="15.75" customHeight="1" x14ac:dyDescent="0.3">
      <c r="A162" s="2" t="s">
        <v>114</v>
      </c>
      <c r="B162" s="2" t="s">
        <v>115</v>
      </c>
      <c r="C162" s="2" t="s">
        <v>46</v>
      </c>
      <c r="D162" s="2" t="str">
        <f>IFERROR(VLOOKUP(C162,'ATP - Keywords'!$B:$B,1,FALSE),"#N/A")</f>
        <v>Unbranded Condition</v>
      </c>
      <c r="E162" s="2" t="s">
        <v>161</v>
      </c>
      <c r="F162" s="2" t="str">
        <f>IFERROR(VLOOKUP(E162,'ATP - Keywords'!$C:$C,1,FALSE),"#N/A")</f>
        <v>non hodgkins large b cell lymphoma</v>
      </c>
      <c r="G162" s="2" t="s">
        <v>269</v>
      </c>
      <c r="H162" s="2" t="s">
        <v>132</v>
      </c>
      <c r="I162" s="2" t="s">
        <v>69</v>
      </c>
      <c r="J162" s="2" t="str">
        <f>IFERROR(VLOOKUP(I162,'ATP - Keywords'!$E:$E,1,FALSE),"#N/A")</f>
        <v>https://www.columvi.com/about/what-is-DLBCL.html</v>
      </c>
      <c r="K162" s="2" t="str">
        <f t="shared" si="2"/>
        <v>https://www.columvi.com/about/what-is-DLBCL.html?c=gft-18903220006</v>
      </c>
      <c r="L162" s="2" t="b">
        <v>1</v>
      </c>
      <c r="M162" s="2" t="s">
        <v>3</v>
      </c>
    </row>
    <row r="163" spans="1:13" ht="15.75" customHeight="1" x14ac:dyDescent="0.3">
      <c r="A163" s="2" t="s">
        <v>114</v>
      </c>
      <c r="B163" s="2" t="s">
        <v>115</v>
      </c>
      <c r="C163" s="2" t="s">
        <v>46</v>
      </c>
      <c r="D163" s="2" t="str">
        <f>IFERROR(VLOOKUP(C163,'ATP - Keywords'!$B:$B,1,FALSE),"#N/A")</f>
        <v>Unbranded Condition</v>
      </c>
      <c r="E163" s="2" t="s">
        <v>162</v>
      </c>
      <c r="F163" s="2" t="str">
        <f>IFERROR(VLOOKUP(E163,'ATP - Keywords'!$C:$C,1,FALSE),"#N/A")</f>
        <v>nhl cancer</v>
      </c>
      <c r="G163" s="2" t="s">
        <v>269</v>
      </c>
      <c r="H163" s="2" t="s">
        <v>132</v>
      </c>
      <c r="I163" s="2" t="s">
        <v>69</v>
      </c>
      <c r="J163" s="2" t="str">
        <f>IFERROR(VLOOKUP(I163,'ATP - Keywords'!$E:$E,1,FALSE),"#N/A")</f>
        <v>https://www.columvi.com/about/what-is-DLBCL.html</v>
      </c>
      <c r="K163" s="2" t="str">
        <f t="shared" si="2"/>
        <v>https://www.columvi.com/about/what-is-DLBCL.html?c=gft-18903220006</v>
      </c>
      <c r="L163" s="2" t="b">
        <v>1</v>
      </c>
      <c r="M163" s="2" t="s">
        <v>3</v>
      </c>
    </row>
    <row r="164" spans="1:13" ht="15.75" customHeight="1" x14ac:dyDescent="0.3">
      <c r="A164" s="2" t="s">
        <v>114</v>
      </c>
      <c r="B164" s="2" t="s">
        <v>115</v>
      </c>
      <c r="C164" s="2" t="s">
        <v>46</v>
      </c>
      <c r="D164" s="2" t="str">
        <f>IFERROR(VLOOKUP(C164,'ATP - Keywords'!$B:$B,1,FALSE),"#N/A")</f>
        <v>Unbranded Condition</v>
      </c>
      <c r="E164" s="2" t="s">
        <v>163</v>
      </c>
      <c r="F164" s="2" t="str">
        <f>IFERROR(VLOOKUP(E164,'ATP - Keywords'!$C:$C,1,FALSE),"#N/A")</f>
        <v>large b cell non hodgkin's lymphoma</v>
      </c>
      <c r="G164" s="2" t="s">
        <v>269</v>
      </c>
      <c r="H164" s="2" t="s">
        <v>132</v>
      </c>
      <c r="I164" s="2" t="s">
        <v>69</v>
      </c>
      <c r="J164" s="2" t="str">
        <f>IFERROR(VLOOKUP(I164,'ATP - Keywords'!$E:$E,1,FALSE),"#N/A")</f>
        <v>https://www.columvi.com/about/what-is-DLBCL.html</v>
      </c>
      <c r="K164" s="2" t="str">
        <f t="shared" si="2"/>
        <v>https://www.columvi.com/about/what-is-DLBCL.html?c=gft-18903220006</v>
      </c>
      <c r="L164" s="2" t="b">
        <v>1</v>
      </c>
      <c r="M164" s="2" t="s">
        <v>3</v>
      </c>
    </row>
    <row r="165" spans="1:13" ht="15.75" customHeight="1" x14ac:dyDescent="0.3">
      <c r="A165" s="2" t="s">
        <v>114</v>
      </c>
      <c r="B165" s="2" t="s">
        <v>115</v>
      </c>
      <c r="C165" s="2" t="s">
        <v>46</v>
      </c>
      <c r="D165" s="2" t="str">
        <f>IFERROR(VLOOKUP(C165,'ATP - Keywords'!$B:$B,1,FALSE),"#N/A")</f>
        <v>Unbranded Condition</v>
      </c>
      <c r="E165" s="2" t="s">
        <v>164</v>
      </c>
      <c r="F165" s="2" t="str">
        <f>IFERROR(VLOOKUP(E165,'ATP - Keywords'!$C:$C,1,FALSE),"#N/A")</f>
        <v>dlbcl non hodgkin's lymphoma</v>
      </c>
      <c r="G165" s="2" t="s">
        <v>269</v>
      </c>
      <c r="H165" s="2" t="s">
        <v>132</v>
      </c>
      <c r="I165" s="2" t="s">
        <v>69</v>
      </c>
      <c r="J165" s="2" t="str">
        <f>IFERROR(VLOOKUP(I165,'ATP - Keywords'!$E:$E,1,FALSE),"#N/A")</f>
        <v>https://www.columvi.com/about/what-is-DLBCL.html</v>
      </c>
      <c r="K165" s="2" t="str">
        <f t="shared" si="2"/>
        <v>https://www.columvi.com/about/what-is-DLBCL.html?c=gft-18903220006</v>
      </c>
      <c r="L165" s="2" t="b">
        <v>1</v>
      </c>
      <c r="M165" s="2" t="s">
        <v>3</v>
      </c>
    </row>
    <row r="166" spans="1:13" ht="15.75" customHeight="1" x14ac:dyDescent="0.3">
      <c r="A166" s="2" t="s">
        <v>114</v>
      </c>
      <c r="B166" s="2" t="s">
        <v>115</v>
      </c>
      <c r="C166" s="2" t="s">
        <v>46</v>
      </c>
      <c r="D166" s="2" t="str">
        <f>IFERROR(VLOOKUP(C166,'ATP - Keywords'!$B:$B,1,FALSE),"#N/A")</f>
        <v>Unbranded Condition</v>
      </c>
      <c r="E166" s="2" t="s">
        <v>165</v>
      </c>
      <c r="F166" s="2" t="str">
        <f>IFERROR(VLOOKUP(E166,'ATP - Keywords'!$C:$C,1,FALSE),"#N/A")</f>
        <v>non hodgkins dlbcl</v>
      </c>
      <c r="G166" s="2" t="s">
        <v>269</v>
      </c>
      <c r="H166" s="2" t="s">
        <v>132</v>
      </c>
      <c r="I166" s="2" t="s">
        <v>69</v>
      </c>
      <c r="J166" s="2" t="str">
        <f>IFERROR(VLOOKUP(I166,'ATP - Keywords'!$E:$E,1,FALSE),"#N/A")</f>
        <v>https://www.columvi.com/about/what-is-DLBCL.html</v>
      </c>
      <c r="K166" s="2" t="str">
        <f t="shared" si="2"/>
        <v>https://www.columvi.com/about/what-is-DLBCL.html?c=gft-18903220006</v>
      </c>
      <c r="L166" s="2" t="b">
        <v>1</v>
      </c>
      <c r="M166" s="2" t="s">
        <v>3</v>
      </c>
    </row>
    <row r="167" spans="1:13" ht="15.75" customHeight="1" x14ac:dyDescent="0.3">
      <c r="A167" s="2" t="s">
        <v>114</v>
      </c>
      <c r="B167" s="2" t="s">
        <v>115</v>
      </c>
      <c r="C167" s="2" t="s">
        <v>46</v>
      </c>
      <c r="D167" s="2" t="str">
        <f>IFERROR(VLOOKUP(C167,'ATP - Keywords'!$B:$B,1,FALSE),"#N/A")</f>
        <v>Unbranded Condition</v>
      </c>
      <c r="E167" s="2" t="s">
        <v>166</v>
      </c>
      <c r="F167" s="2" t="str">
        <f>IFERROR(VLOOKUP(E167,'ATP - Keywords'!$C:$C,1,FALSE),"#N/A")</f>
        <v>nhl large b cell lymphoma</v>
      </c>
      <c r="G167" s="2" t="s">
        <v>269</v>
      </c>
      <c r="H167" s="2" t="s">
        <v>132</v>
      </c>
      <c r="I167" s="2" t="s">
        <v>69</v>
      </c>
      <c r="J167" s="2" t="str">
        <f>IFERROR(VLOOKUP(I167,'ATP - Keywords'!$E:$E,1,FALSE),"#N/A")</f>
        <v>https://www.columvi.com/about/what-is-DLBCL.html</v>
      </c>
      <c r="K167" s="2" t="str">
        <f t="shared" si="2"/>
        <v>https://www.columvi.com/about/what-is-DLBCL.html?c=gft-18903220006</v>
      </c>
      <c r="L167" s="2" t="b">
        <v>1</v>
      </c>
      <c r="M167" s="2" t="s">
        <v>3</v>
      </c>
    </row>
    <row r="168" spans="1:13" ht="15.75" customHeight="1" x14ac:dyDescent="0.3">
      <c r="A168" s="2" t="s">
        <v>114</v>
      </c>
      <c r="B168" s="2" t="s">
        <v>115</v>
      </c>
      <c r="C168" s="2" t="s">
        <v>46</v>
      </c>
      <c r="D168" s="2" t="str">
        <f>IFERROR(VLOOKUP(C168,'ATP - Keywords'!$B:$B,1,FALSE),"#N/A")</f>
        <v>Unbranded Condition</v>
      </c>
      <c r="E168" s="2" t="s">
        <v>167</v>
      </c>
      <c r="F168" s="2" t="str">
        <f>IFERROR(VLOOKUP(E168,'ATP - Keywords'!$C:$C,1,FALSE),"#N/A")</f>
        <v>nhl dlbcl</v>
      </c>
      <c r="G168" s="2" t="s">
        <v>269</v>
      </c>
      <c r="H168" s="2" t="s">
        <v>132</v>
      </c>
      <c r="I168" s="2" t="s">
        <v>69</v>
      </c>
      <c r="J168" s="2" t="str">
        <f>IFERROR(VLOOKUP(I168,'ATP - Keywords'!$E:$E,1,FALSE),"#N/A")</f>
        <v>https://www.columvi.com/about/what-is-DLBCL.html</v>
      </c>
      <c r="K168" s="2" t="str">
        <f t="shared" si="2"/>
        <v>https://www.columvi.com/about/what-is-DLBCL.html?c=gft-18903220006</v>
      </c>
      <c r="L168" s="2" t="b">
        <v>1</v>
      </c>
      <c r="M168" s="2" t="s">
        <v>3</v>
      </c>
    </row>
    <row r="169" spans="1:13" ht="15.75" customHeight="1" x14ac:dyDescent="0.3">
      <c r="A169" s="2" t="s">
        <v>114</v>
      </c>
      <c r="B169" s="2" t="s">
        <v>115</v>
      </c>
      <c r="C169" s="2" t="s">
        <v>46</v>
      </c>
      <c r="D169" s="2" t="str">
        <f>IFERROR(VLOOKUP(C169,'ATP - Keywords'!$B:$B,1,FALSE),"#N/A")</f>
        <v>Unbranded Condition</v>
      </c>
      <c r="E169" s="2" t="s">
        <v>168</v>
      </c>
      <c r="F169" s="2" t="str">
        <f>IFERROR(VLOOKUP(E169,'ATP - Keywords'!$C:$C,1,FALSE),"#N/A")</f>
        <v>nhl lymphoma</v>
      </c>
      <c r="G169" s="2" t="s">
        <v>269</v>
      </c>
      <c r="H169" s="2" t="s">
        <v>132</v>
      </c>
      <c r="I169" s="2" t="s">
        <v>69</v>
      </c>
      <c r="J169" s="2" t="str">
        <f>IFERROR(VLOOKUP(I169,'ATP - Keywords'!$E:$E,1,FALSE),"#N/A")</f>
        <v>https://www.columvi.com/about/what-is-DLBCL.html</v>
      </c>
      <c r="K169" s="2" t="str">
        <f t="shared" si="2"/>
        <v>https://www.columvi.com/about/what-is-DLBCL.html?c=gft-18903220006</v>
      </c>
      <c r="L169" s="2" t="b">
        <v>1</v>
      </c>
      <c r="M169" s="2" t="s">
        <v>3</v>
      </c>
    </row>
    <row r="170" spans="1:13" ht="15.75" customHeight="1" x14ac:dyDescent="0.3">
      <c r="A170" s="2" t="s">
        <v>114</v>
      </c>
      <c r="B170" s="2" t="s">
        <v>115</v>
      </c>
      <c r="C170" s="2" t="s">
        <v>46</v>
      </c>
      <c r="D170" s="2" t="str">
        <f>IFERROR(VLOOKUP(C170,'ATP - Keywords'!$B:$B,1,FALSE),"#N/A")</f>
        <v>Unbranded Condition</v>
      </c>
      <c r="E170" s="2" t="s">
        <v>169</v>
      </c>
      <c r="F170" s="2" t="str">
        <f>IFERROR(VLOOKUP(E170,'ATP - Keywords'!$C:$C,1,FALSE),"#N/A")</f>
        <v>non hodgkins lymphoma</v>
      </c>
      <c r="G170" s="2" t="s">
        <v>269</v>
      </c>
      <c r="H170" s="2" t="s">
        <v>132</v>
      </c>
      <c r="I170" s="2" t="s">
        <v>69</v>
      </c>
      <c r="J170" s="2" t="str">
        <f>IFERROR(VLOOKUP(I170,'ATP - Keywords'!$E:$E,1,FALSE),"#N/A")</f>
        <v>https://www.columvi.com/about/what-is-DLBCL.html</v>
      </c>
      <c r="K170" s="2" t="str">
        <f t="shared" si="2"/>
        <v>https://www.columvi.com/about/what-is-DLBCL.html?c=gft-18903220006</v>
      </c>
      <c r="L170" s="2" t="b">
        <v>1</v>
      </c>
      <c r="M170" s="2" t="s">
        <v>3</v>
      </c>
    </row>
    <row r="171" spans="1:13" ht="15.75" customHeight="1" x14ac:dyDescent="0.3">
      <c r="A171" s="2" t="s">
        <v>114</v>
      </c>
      <c r="B171" s="2" t="s">
        <v>115</v>
      </c>
      <c r="C171" s="2" t="s">
        <v>46</v>
      </c>
      <c r="D171" s="2" t="str">
        <f>IFERROR(VLOOKUP(C171,'ATP - Keywords'!$B:$B,1,FALSE),"#N/A")</f>
        <v>Unbranded Condition</v>
      </c>
      <c r="E171" s="2" t="s">
        <v>170</v>
      </c>
      <c r="F171" s="2" t="str">
        <f>IFERROR(VLOOKUP(E171,'ATP - Keywords'!$C:$C,1,FALSE),"#N/A")</f>
        <v>non hodgkins b cell lymphoma</v>
      </c>
      <c r="G171" s="2" t="s">
        <v>269</v>
      </c>
      <c r="H171" s="2" t="s">
        <v>132</v>
      </c>
      <c r="I171" s="2" t="s">
        <v>69</v>
      </c>
      <c r="J171" s="2" t="str">
        <f>IFERROR(VLOOKUP(I171,'ATP - Keywords'!$E:$E,1,FALSE),"#N/A")</f>
        <v>https://www.columvi.com/about/what-is-DLBCL.html</v>
      </c>
      <c r="K171" s="2" t="str">
        <f t="shared" si="2"/>
        <v>https://www.columvi.com/about/what-is-DLBCL.html?c=gft-18903220006</v>
      </c>
      <c r="L171" s="2" t="b">
        <v>1</v>
      </c>
      <c r="M171" s="2" t="s">
        <v>3</v>
      </c>
    </row>
    <row r="172" spans="1:13" ht="15.75" customHeight="1" x14ac:dyDescent="0.3">
      <c r="A172" s="2" t="s">
        <v>114</v>
      </c>
      <c r="B172" s="2" t="s">
        <v>115</v>
      </c>
      <c r="C172" s="2" t="s">
        <v>46</v>
      </c>
      <c r="D172" s="2" t="str">
        <f>IFERROR(VLOOKUP(C172,'ATP - Keywords'!$B:$B,1,FALSE),"#N/A")</f>
        <v>Unbranded Condition</v>
      </c>
      <c r="E172" s="2" t="s">
        <v>171</v>
      </c>
      <c r="F172" s="2" t="str">
        <f>IFERROR(VLOOKUP(E172,'ATP - Keywords'!$C:$C,1,FALSE),"#N/A")</f>
        <v>non-hodgkin lymphoma</v>
      </c>
      <c r="G172" s="2" t="s">
        <v>269</v>
      </c>
      <c r="H172" s="2" t="s">
        <v>132</v>
      </c>
      <c r="I172" s="2" t="s">
        <v>69</v>
      </c>
      <c r="J172" s="2" t="str">
        <f>IFERROR(VLOOKUP(I172,'ATP - Keywords'!$E:$E,1,FALSE),"#N/A")</f>
        <v>https://www.columvi.com/about/what-is-DLBCL.html</v>
      </c>
      <c r="K172" s="2" t="str">
        <f t="shared" si="2"/>
        <v>https://www.columvi.com/about/what-is-DLBCL.html?c=gft-18903220006</v>
      </c>
      <c r="L172" s="2" t="b">
        <v>1</v>
      </c>
      <c r="M172" s="2" t="s">
        <v>3</v>
      </c>
    </row>
    <row r="173" spans="1:13" ht="15.75" customHeight="1" x14ac:dyDescent="0.3">
      <c r="A173" s="2" t="s">
        <v>114</v>
      </c>
      <c r="B173" s="2" t="s">
        <v>116</v>
      </c>
      <c r="C173" s="2" t="s">
        <v>71</v>
      </c>
      <c r="D173" s="2" t="str">
        <f>IFERROR(VLOOKUP(C173,'ATP - Keywords'!$B:$B,1,FALSE),"#N/A")</f>
        <v>Unbranded DLBCL Causes</v>
      </c>
      <c r="E173" s="2" t="s">
        <v>172</v>
      </c>
      <c r="F173" s="2" t="str">
        <f>IFERROR(VLOOKUP(E173,'ATP - Keywords'!$C:$C,1,FALSE),"#N/A")</f>
        <v>dlbcl causes</v>
      </c>
      <c r="G173" s="2" t="s">
        <v>269</v>
      </c>
      <c r="H173" s="2" t="s">
        <v>132</v>
      </c>
      <c r="I173" s="2" t="s">
        <v>69</v>
      </c>
      <c r="J173" s="2" t="str">
        <f>IFERROR(VLOOKUP(I173,'ATP - Keywords'!$E:$E,1,FALSE),"#N/A")</f>
        <v>https://www.columvi.com/about/what-is-DLBCL.html</v>
      </c>
      <c r="K173" s="2" t="str">
        <f t="shared" si="2"/>
        <v>https://www.columvi.com/about/what-is-DLBCL.html?c=gft-18903220006</v>
      </c>
      <c r="L173" s="2" t="b">
        <v>1</v>
      </c>
      <c r="M173" s="2" t="s">
        <v>3</v>
      </c>
    </row>
    <row r="174" spans="1:13" ht="15.75" customHeight="1" x14ac:dyDescent="0.3">
      <c r="A174" s="2" t="s">
        <v>114</v>
      </c>
      <c r="B174" s="2" t="s">
        <v>116</v>
      </c>
      <c r="C174" s="2" t="s">
        <v>71</v>
      </c>
      <c r="D174" s="2" t="str">
        <f>IFERROR(VLOOKUP(C174,'ATP - Keywords'!$B:$B,1,FALSE),"#N/A")</f>
        <v>Unbranded DLBCL Causes</v>
      </c>
      <c r="E174" s="2" t="s">
        <v>173</v>
      </c>
      <c r="F174" s="2" t="str">
        <f>IFERROR(VLOOKUP(E174,'ATP - Keywords'!$C:$C,1,FALSE),"#N/A")</f>
        <v>large b cell lymphoma causes</v>
      </c>
      <c r="G174" s="2" t="s">
        <v>269</v>
      </c>
      <c r="H174" s="2" t="s">
        <v>132</v>
      </c>
      <c r="I174" s="2" t="s">
        <v>69</v>
      </c>
      <c r="J174" s="2" t="str">
        <f>IFERROR(VLOOKUP(I174,'ATP - Keywords'!$E:$E,1,FALSE),"#N/A")</f>
        <v>https://www.columvi.com/about/what-is-DLBCL.html</v>
      </c>
      <c r="K174" s="2" t="str">
        <f t="shared" si="2"/>
        <v>https://www.columvi.com/about/what-is-DLBCL.html?c=gft-18903220006</v>
      </c>
      <c r="L174" s="2" t="b">
        <v>1</v>
      </c>
      <c r="M174" s="2" t="s">
        <v>3</v>
      </c>
    </row>
    <row r="175" spans="1:13" ht="15.75" customHeight="1" x14ac:dyDescent="0.3">
      <c r="A175" s="2" t="s">
        <v>114</v>
      </c>
      <c r="B175" s="2" t="s">
        <v>116</v>
      </c>
      <c r="C175" s="2" t="s">
        <v>71</v>
      </c>
      <c r="D175" s="2" t="str">
        <f>IFERROR(VLOOKUP(C175,'ATP - Keywords'!$B:$B,1,FALSE),"#N/A")</f>
        <v>Unbranded DLBCL Causes</v>
      </c>
      <c r="E175" s="2" t="s">
        <v>174</v>
      </c>
      <c r="F175" s="2" t="str">
        <f>IFERROR(VLOOKUP(E175,'ATP - Keywords'!$C:$C,1,FALSE),"#N/A")</f>
        <v>what causes dlbcl</v>
      </c>
      <c r="G175" s="2" t="s">
        <v>269</v>
      </c>
      <c r="H175" s="2" t="s">
        <v>132</v>
      </c>
      <c r="I175" s="2" t="s">
        <v>69</v>
      </c>
      <c r="J175" s="2" t="str">
        <f>IFERROR(VLOOKUP(I175,'ATP - Keywords'!$E:$E,1,FALSE),"#N/A")</f>
        <v>https://www.columvi.com/about/what-is-DLBCL.html</v>
      </c>
      <c r="K175" s="2" t="str">
        <f t="shared" si="2"/>
        <v>https://www.columvi.com/about/what-is-DLBCL.html?c=gft-18903220006</v>
      </c>
      <c r="L175" s="2" t="b">
        <v>1</v>
      </c>
      <c r="M175" s="2" t="s">
        <v>3</v>
      </c>
    </row>
    <row r="176" spans="1:13" ht="15.75" customHeight="1" x14ac:dyDescent="0.3">
      <c r="A176" s="2" t="s">
        <v>114</v>
      </c>
      <c r="B176" s="2" t="s">
        <v>116</v>
      </c>
      <c r="C176" s="2" t="s">
        <v>71</v>
      </c>
      <c r="D176" s="2" t="str">
        <f>IFERROR(VLOOKUP(C176,'ATP - Keywords'!$B:$B,1,FALSE),"#N/A")</f>
        <v>Unbranded DLBCL Causes</v>
      </c>
      <c r="E176" s="2" t="s">
        <v>175</v>
      </c>
      <c r="F176" s="2" t="str">
        <f>IFERROR(VLOOKUP(E176,'ATP - Keywords'!$C:$C,1,FALSE),"#N/A")</f>
        <v>what causes large b cell lymphoma</v>
      </c>
      <c r="G176" s="2" t="s">
        <v>269</v>
      </c>
      <c r="H176" s="2" t="s">
        <v>132</v>
      </c>
      <c r="I176" s="2" t="s">
        <v>69</v>
      </c>
      <c r="J176" s="2" t="str">
        <f>IFERROR(VLOOKUP(I176,'ATP - Keywords'!$E:$E,1,FALSE),"#N/A")</f>
        <v>https://www.columvi.com/about/what-is-DLBCL.html</v>
      </c>
      <c r="K176" s="2" t="str">
        <f t="shared" si="2"/>
        <v>https://www.columvi.com/about/what-is-DLBCL.html?c=gft-18903220006</v>
      </c>
      <c r="L176" s="2" t="b">
        <v>1</v>
      </c>
      <c r="M176" s="2" t="s">
        <v>3</v>
      </c>
    </row>
    <row r="177" spans="1:13" ht="15.75" customHeight="1" x14ac:dyDescent="0.3">
      <c r="A177" s="2" t="s">
        <v>114</v>
      </c>
      <c r="B177" s="2" t="s">
        <v>116</v>
      </c>
      <c r="C177" s="2" t="s">
        <v>71</v>
      </c>
      <c r="D177" s="2" t="str">
        <f>IFERROR(VLOOKUP(C177,'ATP - Keywords'!$B:$B,1,FALSE),"#N/A")</f>
        <v>Unbranded DLBCL Causes</v>
      </c>
      <c r="E177" s="2" t="s">
        <v>176</v>
      </c>
      <c r="F177" s="2" t="str">
        <f>IFERROR(VLOOKUP(E177,'ATP - Keywords'!$C:$C,1,FALSE),"#N/A")</f>
        <v>how do you get dlbcl</v>
      </c>
      <c r="G177" s="2" t="s">
        <v>269</v>
      </c>
      <c r="H177" s="2" t="s">
        <v>132</v>
      </c>
      <c r="I177" s="2" t="s">
        <v>69</v>
      </c>
      <c r="J177" s="2" t="str">
        <f>IFERROR(VLOOKUP(I177,'ATP - Keywords'!$E:$E,1,FALSE),"#N/A")</f>
        <v>https://www.columvi.com/about/what-is-DLBCL.html</v>
      </c>
      <c r="K177" s="2" t="str">
        <f t="shared" si="2"/>
        <v>https://www.columvi.com/about/what-is-DLBCL.html?c=gft-18903220006</v>
      </c>
      <c r="L177" s="2" t="b">
        <v>1</v>
      </c>
      <c r="M177" s="2" t="s">
        <v>3</v>
      </c>
    </row>
    <row r="178" spans="1:13" ht="15.75" customHeight="1" x14ac:dyDescent="0.3">
      <c r="A178" s="2" t="s">
        <v>114</v>
      </c>
      <c r="B178" s="2" t="s">
        <v>116</v>
      </c>
      <c r="C178" s="2" t="s">
        <v>71</v>
      </c>
      <c r="D178" s="2" t="str">
        <f>IFERROR(VLOOKUP(C178,'ATP - Keywords'!$B:$B,1,FALSE),"#N/A")</f>
        <v>Unbranded DLBCL Causes</v>
      </c>
      <c r="E178" s="2" t="s">
        <v>177</v>
      </c>
      <c r="F178" s="2" t="str">
        <f>IFERROR(VLOOKUP(E178,'ATP - Keywords'!$C:$C,1,FALSE),"#N/A")</f>
        <v>how do you get large b cell lymphoma</v>
      </c>
      <c r="G178" s="2" t="s">
        <v>269</v>
      </c>
      <c r="H178" s="2" t="s">
        <v>132</v>
      </c>
      <c r="I178" s="2" t="s">
        <v>69</v>
      </c>
      <c r="J178" s="2" t="str">
        <f>IFERROR(VLOOKUP(I178,'ATP - Keywords'!$E:$E,1,FALSE),"#N/A")</f>
        <v>https://www.columvi.com/about/what-is-DLBCL.html</v>
      </c>
      <c r="K178" s="2" t="str">
        <f t="shared" si="2"/>
        <v>https://www.columvi.com/about/what-is-DLBCL.html?c=gft-18903220006</v>
      </c>
      <c r="L178" s="2" t="b">
        <v>1</v>
      </c>
      <c r="M178" s="2" t="s">
        <v>3</v>
      </c>
    </row>
    <row r="179" spans="1:13" ht="15.75" customHeight="1" x14ac:dyDescent="0.3">
      <c r="A179" s="2" t="s">
        <v>114</v>
      </c>
      <c r="B179" s="2" t="s">
        <v>116</v>
      </c>
      <c r="C179" s="2" t="s">
        <v>71</v>
      </c>
      <c r="D179" s="2" t="str">
        <f>IFERROR(VLOOKUP(C179,'ATP - Keywords'!$B:$B,1,FALSE),"#N/A")</f>
        <v>Unbranded DLBCL Causes</v>
      </c>
      <c r="E179" s="2" t="s">
        <v>178</v>
      </c>
      <c r="F179" s="2" t="str">
        <f>IFERROR(VLOOKUP(E179,'ATP - Keywords'!$C:$C,1,FALSE),"#N/A")</f>
        <v>who gets large b cell lymphoma</v>
      </c>
      <c r="G179" s="2" t="s">
        <v>269</v>
      </c>
      <c r="H179" s="2" t="s">
        <v>132</v>
      </c>
      <c r="I179" s="2" t="s">
        <v>69</v>
      </c>
      <c r="J179" s="2" t="str">
        <f>IFERROR(VLOOKUP(I179,'ATP - Keywords'!$E:$E,1,FALSE),"#N/A")</f>
        <v>https://www.columvi.com/about/what-is-DLBCL.html</v>
      </c>
      <c r="K179" s="2" t="str">
        <f t="shared" si="2"/>
        <v>https://www.columvi.com/about/what-is-DLBCL.html?c=gft-18903220006</v>
      </c>
      <c r="L179" s="2" t="b">
        <v>1</v>
      </c>
      <c r="M179" s="2" t="s">
        <v>3</v>
      </c>
    </row>
    <row r="180" spans="1:13" ht="15.75" customHeight="1" x14ac:dyDescent="0.3">
      <c r="A180" s="2" t="s">
        <v>114</v>
      </c>
      <c r="B180" s="2" t="s">
        <v>116</v>
      </c>
      <c r="C180" s="2" t="s">
        <v>71</v>
      </c>
      <c r="D180" s="2" t="str">
        <f>IFERROR(VLOOKUP(C180,'ATP - Keywords'!$B:$B,1,FALSE),"#N/A")</f>
        <v>Unbranded DLBCL Causes</v>
      </c>
      <c r="E180" s="2" t="s">
        <v>179</v>
      </c>
      <c r="F180" s="2" t="str">
        <f>IFERROR(VLOOKUP(E180,'ATP - Keywords'!$C:$C,1,FALSE),"#N/A")</f>
        <v>what is the cause of diffuse large b cell lymphoma</v>
      </c>
      <c r="G180" s="2" t="s">
        <v>269</v>
      </c>
      <c r="H180" s="2" t="s">
        <v>132</v>
      </c>
      <c r="I180" s="2" t="s">
        <v>69</v>
      </c>
      <c r="J180" s="2" t="str">
        <f>IFERROR(VLOOKUP(I180,'ATP - Keywords'!$E:$E,1,FALSE),"#N/A")</f>
        <v>https://www.columvi.com/about/what-is-DLBCL.html</v>
      </c>
      <c r="K180" s="2" t="str">
        <f t="shared" si="2"/>
        <v>https://www.columvi.com/about/what-is-DLBCL.html?c=gft-18903220006</v>
      </c>
      <c r="L180" s="2" t="b">
        <v>1</v>
      </c>
      <c r="M180" s="2" t="s">
        <v>3</v>
      </c>
    </row>
    <row r="181" spans="1:13" ht="15.75" customHeight="1" x14ac:dyDescent="0.3">
      <c r="A181" s="2" t="s">
        <v>114</v>
      </c>
      <c r="B181" s="2" t="s">
        <v>116</v>
      </c>
      <c r="C181" s="2" t="s">
        <v>71</v>
      </c>
      <c r="D181" s="2" t="str">
        <f>IFERROR(VLOOKUP(C181,'ATP - Keywords'!$B:$B,1,FALSE),"#N/A")</f>
        <v>Unbranded DLBCL Causes</v>
      </c>
      <c r="E181" s="2" t="s">
        <v>180</v>
      </c>
      <c r="F181" s="2" t="str">
        <f>IFERROR(VLOOKUP(E181,'ATP - Keywords'!$C:$C,1,FALSE),"#N/A")</f>
        <v>how does dlbcl develop</v>
      </c>
      <c r="G181" s="2" t="s">
        <v>269</v>
      </c>
      <c r="H181" s="2" t="s">
        <v>132</v>
      </c>
      <c r="I181" s="2" t="s">
        <v>69</v>
      </c>
      <c r="J181" s="2" t="str">
        <f>IFERROR(VLOOKUP(I181,'ATP - Keywords'!$E:$E,1,FALSE),"#N/A")</f>
        <v>https://www.columvi.com/about/what-is-DLBCL.html</v>
      </c>
      <c r="K181" s="2" t="str">
        <f t="shared" si="2"/>
        <v>https://www.columvi.com/about/what-is-DLBCL.html?c=gft-18903220006</v>
      </c>
      <c r="L181" s="2" t="b">
        <v>1</v>
      </c>
      <c r="M181" s="2" t="s">
        <v>3</v>
      </c>
    </row>
    <row r="182" spans="1:13" ht="15.75" customHeight="1" x14ac:dyDescent="0.3">
      <c r="A182" s="2" t="s">
        <v>114</v>
      </c>
      <c r="B182" s="2" t="s">
        <v>116</v>
      </c>
      <c r="C182" s="2" t="s">
        <v>71</v>
      </c>
      <c r="D182" s="2" t="str">
        <f>IFERROR(VLOOKUP(C182,'ATP - Keywords'!$B:$B,1,FALSE),"#N/A")</f>
        <v>Unbranded DLBCL Causes</v>
      </c>
      <c r="E182" s="2" t="s">
        <v>181</v>
      </c>
      <c r="F182" s="2" t="str">
        <f>IFERROR(VLOOKUP(E182,'ATP - Keywords'!$C:$C,1,FALSE),"#N/A")</f>
        <v>development of dlbcl</v>
      </c>
      <c r="G182" s="2" t="s">
        <v>269</v>
      </c>
      <c r="H182" s="2" t="s">
        <v>132</v>
      </c>
      <c r="I182" s="2" t="s">
        <v>69</v>
      </c>
      <c r="J182" s="2" t="str">
        <f>IFERROR(VLOOKUP(I182,'ATP - Keywords'!$E:$E,1,FALSE),"#N/A")</f>
        <v>https://www.columvi.com/about/what-is-DLBCL.html</v>
      </c>
      <c r="K182" s="2" t="str">
        <f t="shared" si="2"/>
        <v>https://www.columvi.com/about/what-is-DLBCL.html?c=gft-18903220006</v>
      </c>
      <c r="L182" s="2" t="b">
        <v>1</v>
      </c>
      <c r="M182" s="2" t="s">
        <v>3</v>
      </c>
    </row>
    <row r="183" spans="1:13" ht="15.75" customHeight="1" x14ac:dyDescent="0.3">
      <c r="A183" s="2" t="s">
        <v>114</v>
      </c>
      <c r="B183" s="2" t="s">
        <v>116</v>
      </c>
      <c r="C183" s="2" t="s">
        <v>71</v>
      </c>
      <c r="D183" s="2" t="str">
        <f>IFERROR(VLOOKUP(C183,'ATP - Keywords'!$B:$B,1,FALSE),"#N/A")</f>
        <v>Unbranded DLBCL Causes</v>
      </c>
      <c r="E183" s="2" t="s">
        <v>182</v>
      </c>
      <c r="F183" s="2" t="str">
        <f>IFERROR(VLOOKUP(E183,'ATP - Keywords'!$C:$C,1,FALSE),"#N/A")</f>
        <v>what causes relapsed or refractory dlbcl</v>
      </c>
      <c r="G183" s="2" t="s">
        <v>269</v>
      </c>
      <c r="H183" s="2" t="s">
        <v>132</v>
      </c>
      <c r="I183" s="2" t="s">
        <v>69</v>
      </c>
      <c r="J183" s="2" t="str">
        <f>IFERROR(VLOOKUP(I183,'ATP - Keywords'!$E:$E,1,FALSE),"#N/A")</f>
        <v>https://www.columvi.com/about/what-is-DLBCL.html</v>
      </c>
      <c r="K183" s="2" t="str">
        <f t="shared" si="2"/>
        <v>https://www.columvi.com/about/what-is-DLBCL.html?c=gft-18903220006</v>
      </c>
      <c r="L183" s="2" t="b">
        <v>1</v>
      </c>
      <c r="M183" s="2" t="s">
        <v>3</v>
      </c>
    </row>
    <row r="184" spans="1:13" ht="15.75" customHeight="1" x14ac:dyDescent="0.3">
      <c r="A184" s="2" t="s">
        <v>114</v>
      </c>
      <c r="B184" s="2" t="s">
        <v>116</v>
      </c>
      <c r="C184" s="2" t="s">
        <v>71</v>
      </c>
      <c r="D184" s="2" t="str">
        <f>IFERROR(VLOOKUP(C184,'ATP - Keywords'!$B:$B,1,FALSE),"#N/A")</f>
        <v>Unbranded DLBCL Causes</v>
      </c>
      <c r="E184" s="2" t="s">
        <v>183</v>
      </c>
      <c r="F184" s="2" t="str">
        <f>IFERROR(VLOOKUP(E184,'ATP - Keywords'!$C:$C,1,FALSE),"#N/A")</f>
        <v>causes of r/r dlbcl</v>
      </c>
      <c r="G184" s="2" t="s">
        <v>269</v>
      </c>
      <c r="H184" s="2" t="s">
        <v>132</v>
      </c>
      <c r="I184" s="2" t="s">
        <v>69</v>
      </c>
      <c r="J184" s="2" t="str">
        <f>IFERROR(VLOOKUP(I184,'ATP - Keywords'!$E:$E,1,FALSE),"#N/A")</f>
        <v>https://www.columvi.com/about/what-is-DLBCL.html</v>
      </c>
      <c r="K184" s="2" t="str">
        <f t="shared" si="2"/>
        <v>https://www.columvi.com/about/what-is-DLBCL.html?c=gft-18903220006</v>
      </c>
      <c r="L184" s="2" t="b">
        <v>1</v>
      </c>
      <c r="M184" s="2" t="s">
        <v>3</v>
      </c>
    </row>
    <row r="185" spans="1:13" ht="15.75" customHeight="1" x14ac:dyDescent="0.3">
      <c r="A185" s="2" t="s">
        <v>114</v>
      </c>
      <c r="B185" s="2" t="s">
        <v>117</v>
      </c>
      <c r="C185" s="2" t="s">
        <v>76</v>
      </c>
      <c r="D185" s="2" t="str">
        <f>IFERROR(VLOOKUP(C185,'ATP - Keywords'!$B:$B,1,FALSE),"#N/A")</f>
        <v>Unbranded DLBCL Diagnosis</v>
      </c>
      <c r="E185" s="2" t="s">
        <v>184</v>
      </c>
      <c r="F185" s="2" t="str">
        <f>IFERROR(VLOOKUP(E185,'ATP - Keywords'!$C:$C,1,FALSE),"#N/A")</f>
        <v>large b cell lymphoma diagnosis</v>
      </c>
      <c r="G185" s="2" t="s">
        <v>269</v>
      </c>
      <c r="H185" s="2" t="s">
        <v>132</v>
      </c>
      <c r="I185" s="2" t="s">
        <v>69</v>
      </c>
      <c r="J185" s="2" t="str">
        <f>IFERROR(VLOOKUP(I185,'ATP - Keywords'!$E:$E,1,FALSE),"#N/A")</f>
        <v>https://www.columvi.com/about/what-is-DLBCL.html</v>
      </c>
      <c r="K185" s="2" t="str">
        <f t="shared" si="2"/>
        <v>https://www.columvi.com/about/what-is-DLBCL.html?c=gft-18903220006</v>
      </c>
      <c r="L185" s="2" t="b">
        <v>1</v>
      </c>
      <c r="M185" s="2" t="s">
        <v>3</v>
      </c>
    </row>
    <row r="186" spans="1:13" ht="15.75" customHeight="1" x14ac:dyDescent="0.3">
      <c r="A186" s="2" t="s">
        <v>114</v>
      </c>
      <c r="B186" s="2" t="s">
        <v>117</v>
      </c>
      <c r="C186" s="2" t="s">
        <v>76</v>
      </c>
      <c r="D186" s="2" t="str">
        <f>IFERROR(VLOOKUP(C186,'ATP - Keywords'!$B:$B,1,FALSE),"#N/A")</f>
        <v>Unbranded DLBCL Diagnosis</v>
      </c>
      <c r="E186" s="2" t="s">
        <v>185</v>
      </c>
      <c r="F186" s="2" t="str">
        <f>IFERROR(VLOOKUP(E186,'ATP - Keywords'!$C:$C,1,FALSE),"#N/A")</f>
        <v>dlbcl diagnosis</v>
      </c>
      <c r="G186" s="2" t="s">
        <v>269</v>
      </c>
      <c r="H186" s="2" t="s">
        <v>132</v>
      </c>
      <c r="I186" s="2" t="s">
        <v>69</v>
      </c>
      <c r="J186" s="2" t="str">
        <f>IFERROR(VLOOKUP(I186,'ATP - Keywords'!$E:$E,1,FALSE),"#N/A")</f>
        <v>https://www.columvi.com/about/what-is-DLBCL.html</v>
      </c>
      <c r="K186" s="2" t="str">
        <f t="shared" si="2"/>
        <v>https://www.columvi.com/about/what-is-DLBCL.html?c=gft-18903220006</v>
      </c>
      <c r="L186" s="2" t="b">
        <v>1</v>
      </c>
      <c r="M186" s="2" t="s">
        <v>3</v>
      </c>
    </row>
    <row r="187" spans="1:13" ht="15.75" customHeight="1" x14ac:dyDescent="0.3">
      <c r="A187" s="2" t="s">
        <v>114</v>
      </c>
      <c r="B187" s="2" t="s">
        <v>117</v>
      </c>
      <c r="C187" s="2" t="s">
        <v>76</v>
      </c>
      <c r="D187" s="2" t="str">
        <f>IFERROR(VLOOKUP(C187,'ATP - Keywords'!$B:$B,1,FALSE),"#N/A")</f>
        <v>Unbranded DLBCL Diagnosis</v>
      </c>
      <c r="E187" s="2" t="s">
        <v>186</v>
      </c>
      <c r="F187" s="2" t="str">
        <f>IFERROR(VLOOKUP(E187,'ATP - Keywords'!$C:$C,1,FALSE),"#N/A")</f>
        <v>diagnosed with large b cell lymphoma</v>
      </c>
      <c r="G187" s="2" t="s">
        <v>269</v>
      </c>
      <c r="H187" s="2" t="s">
        <v>132</v>
      </c>
      <c r="I187" s="2" t="s">
        <v>69</v>
      </c>
      <c r="J187" s="2" t="str">
        <f>IFERROR(VLOOKUP(I187,'ATP - Keywords'!$E:$E,1,FALSE),"#N/A")</f>
        <v>https://www.columvi.com/about/what-is-DLBCL.html</v>
      </c>
      <c r="K187" s="2" t="str">
        <f t="shared" si="2"/>
        <v>https://www.columvi.com/about/what-is-DLBCL.html?c=gft-18903220006</v>
      </c>
      <c r="L187" s="2" t="b">
        <v>1</v>
      </c>
      <c r="M187" s="2" t="s">
        <v>3</v>
      </c>
    </row>
    <row r="188" spans="1:13" ht="15.75" customHeight="1" x14ac:dyDescent="0.3">
      <c r="A188" s="2" t="s">
        <v>114</v>
      </c>
      <c r="B188" s="2" t="s">
        <v>117</v>
      </c>
      <c r="C188" s="2" t="s">
        <v>76</v>
      </c>
      <c r="D188" s="2" t="str">
        <f>IFERROR(VLOOKUP(C188,'ATP - Keywords'!$B:$B,1,FALSE),"#N/A")</f>
        <v>Unbranded DLBCL Diagnosis</v>
      </c>
      <c r="E188" s="2" t="s">
        <v>187</v>
      </c>
      <c r="F188" s="2" t="str">
        <f>IFERROR(VLOOKUP(E188,'ATP - Keywords'!$C:$C,1,FALSE),"#N/A")</f>
        <v>diagnosed with dlbcl</v>
      </c>
      <c r="G188" s="2" t="s">
        <v>269</v>
      </c>
      <c r="H188" s="2" t="s">
        <v>132</v>
      </c>
      <c r="I188" s="2" t="s">
        <v>69</v>
      </c>
      <c r="J188" s="2" t="str">
        <f>IFERROR(VLOOKUP(I188,'ATP - Keywords'!$E:$E,1,FALSE),"#N/A")</f>
        <v>https://www.columvi.com/about/what-is-DLBCL.html</v>
      </c>
      <c r="K188" s="2" t="str">
        <f t="shared" si="2"/>
        <v>https://www.columvi.com/about/what-is-DLBCL.html?c=gft-18903220006</v>
      </c>
      <c r="L188" s="2" t="b">
        <v>1</v>
      </c>
      <c r="M188" s="2" t="s">
        <v>3</v>
      </c>
    </row>
    <row r="189" spans="1:13" ht="15.75" customHeight="1" x14ac:dyDescent="0.3">
      <c r="A189" s="2" t="s">
        <v>114</v>
      </c>
      <c r="B189" s="2" t="s">
        <v>117</v>
      </c>
      <c r="C189" s="2" t="s">
        <v>76</v>
      </c>
      <c r="D189" s="2" t="str">
        <f>IFERROR(VLOOKUP(C189,'ATP - Keywords'!$B:$B,1,FALSE),"#N/A")</f>
        <v>Unbranded DLBCL Diagnosis</v>
      </c>
      <c r="E189" s="2" t="s">
        <v>188</v>
      </c>
      <c r="F189" s="2" t="str">
        <f>IFERROR(VLOOKUP(E189,'ATP - Keywords'!$C:$C,1,FALSE),"#N/A")</f>
        <v>dlbcl diagnosis info</v>
      </c>
      <c r="G189" s="2" t="s">
        <v>269</v>
      </c>
      <c r="H189" s="2" t="s">
        <v>132</v>
      </c>
      <c r="I189" s="2" t="s">
        <v>69</v>
      </c>
      <c r="J189" s="2" t="str">
        <f>IFERROR(VLOOKUP(I189,'ATP - Keywords'!$E:$E,1,FALSE),"#N/A")</f>
        <v>https://www.columvi.com/about/what-is-DLBCL.html</v>
      </c>
      <c r="K189" s="2" t="str">
        <f t="shared" si="2"/>
        <v>https://www.columvi.com/about/what-is-DLBCL.html?c=gft-18903220006</v>
      </c>
      <c r="L189" s="2" t="b">
        <v>1</v>
      </c>
      <c r="M189" s="2" t="s">
        <v>3</v>
      </c>
    </row>
    <row r="190" spans="1:13" ht="15.75" customHeight="1" x14ac:dyDescent="0.3">
      <c r="A190" s="2" t="s">
        <v>114</v>
      </c>
      <c r="B190" s="2" t="s">
        <v>118</v>
      </c>
      <c r="C190" s="2" t="s">
        <v>78</v>
      </c>
      <c r="D190" s="2" t="str">
        <f>IFERROR(VLOOKUP(C190,'ATP - Keywords'!$B:$B,1,FALSE),"#N/A")</f>
        <v>Unbranded DLBCL Resources</v>
      </c>
      <c r="E190" s="2" t="s">
        <v>189</v>
      </c>
      <c r="F190" s="2" t="str">
        <f>IFERROR(VLOOKUP(E190,'ATP - Keywords'!$C:$C,1,FALSE),"#N/A")</f>
        <v>dlbcl information</v>
      </c>
      <c r="G190" s="2" t="s">
        <v>269</v>
      </c>
      <c r="H190" s="2" t="s">
        <v>190</v>
      </c>
      <c r="I190" s="2" t="s">
        <v>81</v>
      </c>
      <c r="J190" s="2" t="str">
        <f>IFERROR(VLOOKUP(I190,'ATP - Keywords'!$E:$E,1,FALSE),"#N/A")</f>
        <v>https://www.columvi.com/resources/helpful-links.html</v>
      </c>
      <c r="K190" s="2" t="str">
        <f t="shared" si="2"/>
        <v>https://www.columvi.com/resources/helpful-links.html?c=gft-18903220006</v>
      </c>
      <c r="L190" s="2" t="b">
        <v>1</v>
      </c>
      <c r="M190" s="2" t="s">
        <v>3</v>
      </c>
    </row>
    <row r="191" spans="1:13" ht="15.75" customHeight="1" x14ac:dyDescent="0.3">
      <c r="A191" s="2" t="s">
        <v>114</v>
      </c>
      <c r="B191" s="2" t="s">
        <v>118</v>
      </c>
      <c r="C191" s="2" t="s">
        <v>78</v>
      </c>
      <c r="D191" s="2" t="str">
        <f>IFERROR(VLOOKUP(C191,'ATP - Keywords'!$B:$B,1,FALSE),"#N/A")</f>
        <v>Unbranded DLBCL Resources</v>
      </c>
      <c r="E191" s="2" t="s">
        <v>191</v>
      </c>
      <c r="F191" s="2" t="str">
        <f>IFERROR(VLOOKUP(E191,'ATP - Keywords'!$C:$C,1,FALSE),"#N/A")</f>
        <v>dlbcl patient information</v>
      </c>
      <c r="G191" s="2" t="s">
        <v>269</v>
      </c>
      <c r="H191" s="2" t="s">
        <v>190</v>
      </c>
      <c r="I191" s="2" t="s">
        <v>81</v>
      </c>
      <c r="J191" s="2" t="str">
        <f>IFERROR(VLOOKUP(I191,'ATP - Keywords'!$E:$E,1,FALSE),"#N/A")</f>
        <v>https://www.columvi.com/resources/helpful-links.html</v>
      </c>
      <c r="K191" s="2" t="str">
        <f t="shared" si="2"/>
        <v>https://www.columvi.com/resources/helpful-links.html?c=gft-18903220006</v>
      </c>
      <c r="L191" s="2" t="b">
        <v>1</v>
      </c>
      <c r="M191" s="2" t="s">
        <v>3</v>
      </c>
    </row>
    <row r="192" spans="1:13" ht="15.75" customHeight="1" x14ac:dyDescent="0.3">
      <c r="A192" s="2" t="s">
        <v>114</v>
      </c>
      <c r="B192" s="2" t="s">
        <v>118</v>
      </c>
      <c r="C192" s="2" t="s">
        <v>78</v>
      </c>
      <c r="D192" s="2" t="str">
        <f>IFERROR(VLOOKUP(C192,'ATP - Keywords'!$B:$B,1,FALSE),"#N/A")</f>
        <v>Unbranded DLBCL Resources</v>
      </c>
      <c r="E192" s="2" t="s">
        <v>192</v>
      </c>
      <c r="F192" s="2" t="str">
        <f>IFERROR(VLOOKUP(E192,'ATP - Keywords'!$C:$C,1,FALSE),"#N/A")</f>
        <v>large b cell lymphoma information</v>
      </c>
      <c r="G192" s="2" t="s">
        <v>269</v>
      </c>
      <c r="H192" s="2" t="s">
        <v>190</v>
      </c>
      <c r="I192" s="2" t="s">
        <v>81</v>
      </c>
      <c r="J192" s="2" t="str">
        <f>IFERROR(VLOOKUP(I192,'ATP - Keywords'!$E:$E,1,FALSE),"#N/A")</f>
        <v>https://www.columvi.com/resources/helpful-links.html</v>
      </c>
      <c r="K192" s="2" t="str">
        <f t="shared" si="2"/>
        <v>https://www.columvi.com/resources/helpful-links.html?c=gft-18903220006</v>
      </c>
      <c r="L192" s="2" t="b">
        <v>1</v>
      </c>
      <c r="M192" s="2" t="s">
        <v>3</v>
      </c>
    </row>
    <row r="193" spans="1:13" ht="15.75" customHeight="1" x14ac:dyDescent="0.3">
      <c r="A193" s="2" t="s">
        <v>114</v>
      </c>
      <c r="B193" s="2" t="s">
        <v>118</v>
      </c>
      <c r="C193" s="2" t="s">
        <v>78</v>
      </c>
      <c r="D193" s="2" t="str">
        <f>IFERROR(VLOOKUP(C193,'ATP - Keywords'!$B:$B,1,FALSE),"#N/A")</f>
        <v>Unbranded DLBCL Resources</v>
      </c>
      <c r="E193" s="2" t="s">
        <v>193</v>
      </c>
      <c r="F193" s="2" t="str">
        <f>IFERROR(VLOOKUP(E193,'ATP - Keywords'!$C:$C,1,FALSE),"#N/A")</f>
        <v>large b cell lymphoma patient information</v>
      </c>
      <c r="G193" s="2" t="s">
        <v>269</v>
      </c>
      <c r="H193" s="2" t="s">
        <v>190</v>
      </c>
      <c r="I193" s="2" t="s">
        <v>81</v>
      </c>
      <c r="J193" s="2" t="str">
        <f>IFERROR(VLOOKUP(I193,'ATP - Keywords'!$E:$E,1,FALSE),"#N/A")</f>
        <v>https://www.columvi.com/resources/helpful-links.html</v>
      </c>
      <c r="K193" s="2" t="str">
        <f t="shared" si="2"/>
        <v>https://www.columvi.com/resources/helpful-links.html?c=gft-18903220006</v>
      </c>
      <c r="L193" s="2" t="b">
        <v>1</v>
      </c>
      <c r="M193" s="2" t="s">
        <v>3</v>
      </c>
    </row>
    <row r="194" spans="1:13" ht="15.75" customHeight="1" x14ac:dyDescent="0.3">
      <c r="A194" s="2" t="s">
        <v>114</v>
      </c>
      <c r="B194" s="2" t="s">
        <v>118</v>
      </c>
      <c r="C194" s="2" t="s">
        <v>78</v>
      </c>
      <c r="D194" s="2" t="str">
        <f>IFERROR(VLOOKUP(C194,'ATP - Keywords'!$B:$B,1,FALSE),"#N/A")</f>
        <v>Unbranded DLBCL Resources</v>
      </c>
      <c r="E194" s="2" t="s">
        <v>194</v>
      </c>
      <c r="F194" s="2" t="str">
        <f>IFERROR(VLOOKUP(E194,'ATP - Keywords'!$C:$C,1,FALSE),"#N/A")</f>
        <v>the large b-cell lymphoma</v>
      </c>
      <c r="G194" s="2" t="s">
        <v>269</v>
      </c>
      <c r="H194" s="2" t="s">
        <v>190</v>
      </c>
      <c r="I194" s="2" t="s">
        <v>81</v>
      </c>
      <c r="J194" s="2" t="str">
        <f>IFERROR(VLOOKUP(I194,'ATP - Keywords'!$E:$E,1,FALSE),"#N/A")</f>
        <v>https://www.columvi.com/resources/helpful-links.html</v>
      </c>
      <c r="K194" s="2" t="str">
        <f t="shared" ref="K194:K257" si="3">CONCATENATE(J194,"?c=",M194)</f>
        <v>https://www.columvi.com/resources/helpful-links.html?c=gft-18903220006</v>
      </c>
      <c r="L194" s="2" t="b">
        <v>1</v>
      </c>
      <c r="M194" s="2" t="s">
        <v>3</v>
      </c>
    </row>
    <row r="195" spans="1:13" ht="15.75" customHeight="1" x14ac:dyDescent="0.3">
      <c r="A195" s="2" t="s">
        <v>114</v>
      </c>
      <c r="B195" s="2" t="s">
        <v>118</v>
      </c>
      <c r="C195" s="2" t="s">
        <v>78</v>
      </c>
      <c r="D195" s="2" t="str">
        <f>IFERROR(VLOOKUP(C195,'ATP - Keywords'!$B:$B,1,FALSE),"#N/A")</f>
        <v>Unbranded DLBCL Resources</v>
      </c>
      <c r="E195" s="2" t="s">
        <v>195</v>
      </c>
      <c r="F195" s="2" t="str">
        <f>IFERROR(VLOOKUP(E195,'ATP - Keywords'!$C:$C,1,FALSE),"#N/A")</f>
        <v>dlbcl resources</v>
      </c>
      <c r="G195" s="2" t="s">
        <v>269</v>
      </c>
      <c r="H195" s="2" t="s">
        <v>190</v>
      </c>
      <c r="I195" s="2" t="s">
        <v>81</v>
      </c>
      <c r="J195" s="2" t="str">
        <f>IFERROR(VLOOKUP(I195,'ATP - Keywords'!$E:$E,1,FALSE),"#N/A")</f>
        <v>https://www.columvi.com/resources/helpful-links.html</v>
      </c>
      <c r="K195" s="2" t="str">
        <f t="shared" si="3"/>
        <v>https://www.columvi.com/resources/helpful-links.html?c=gft-18903220006</v>
      </c>
      <c r="L195" s="2" t="b">
        <v>1</v>
      </c>
      <c r="M195" s="2" t="s">
        <v>3</v>
      </c>
    </row>
    <row r="196" spans="1:13" ht="15.75" customHeight="1" x14ac:dyDescent="0.3">
      <c r="A196" s="2" t="s">
        <v>114</v>
      </c>
      <c r="B196" s="2" t="s">
        <v>118</v>
      </c>
      <c r="C196" s="2" t="s">
        <v>78</v>
      </c>
      <c r="D196" s="2" t="str">
        <f>IFERROR(VLOOKUP(C196,'ATP - Keywords'!$B:$B,1,FALSE),"#N/A")</f>
        <v>Unbranded DLBCL Resources</v>
      </c>
      <c r="E196" s="2" t="s">
        <v>196</v>
      </c>
      <c r="F196" s="2" t="str">
        <f>IFERROR(VLOOKUP(E196,'ATP - Keywords'!$C:$C,1,FALSE),"#N/A")</f>
        <v>dlbcl resources for patients</v>
      </c>
      <c r="G196" s="2" t="s">
        <v>269</v>
      </c>
      <c r="H196" s="2" t="s">
        <v>190</v>
      </c>
      <c r="I196" s="2" t="s">
        <v>81</v>
      </c>
      <c r="J196" s="2" t="str">
        <f>IFERROR(VLOOKUP(I196,'ATP - Keywords'!$E:$E,1,FALSE),"#N/A")</f>
        <v>https://www.columvi.com/resources/helpful-links.html</v>
      </c>
      <c r="K196" s="2" t="str">
        <f t="shared" si="3"/>
        <v>https://www.columvi.com/resources/helpful-links.html?c=gft-18903220006</v>
      </c>
      <c r="L196" s="2" t="b">
        <v>1</v>
      </c>
      <c r="M196" s="2" t="s">
        <v>3</v>
      </c>
    </row>
    <row r="197" spans="1:13" ht="15.75" customHeight="1" x14ac:dyDescent="0.3">
      <c r="A197" s="2" t="s">
        <v>114</v>
      </c>
      <c r="B197" s="2" t="s">
        <v>118</v>
      </c>
      <c r="C197" s="2" t="s">
        <v>78</v>
      </c>
      <c r="D197" s="2" t="str">
        <f>IFERROR(VLOOKUP(C197,'ATP - Keywords'!$B:$B,1,FALSE),"#N/A")</f>
        <v>Unbranded DLBCL Resources</v>
      </c>
      <c r="E197" s="2" t="s">
        <v>197</v>
      </c>
      <c r="F197" s="2" t="str">
        <f>IFERROR(VLOOKUP(E197,'ATP - Keywords'!$C:$C,1,FALSE),"#N/A")</f>
        <v>patient resources diffuse large b cell lymphoma</v>
      </c>
      <c r="G197" s="2" t="s">
        <v>269</v>
      </c>
      <c r="H197" s="2" t="s">
        <v>190</v>
      </c>
      <c r="I197" s="2" t="s">
        <v>81</v>
      </c>
      <c r="J197" s="2" t="str">
        <f>IFERROR(VLOOKUP(I197,'ATP - Keywords'!$E:$E,1,FALSE),"#N/A")</f>
        <v>https://www.columvi.com/resources/helpful-links.html</v>
      </c>
      <c r="K197" s="2" t="str">
        <f t="shared" si="3"/>
        <v>https://www.columvi.com/resources/helpful-links.html?c=gft-18903220006</v>
      </c>
      <c r="L197" s="2" t="b">
        <v>1</v>
      </c>
      <c r="M197" s="2" t="s">
        <v>3</v>
      </c>
    </row>
    <row r="198" spans="1:13" ht="15.75" customHeight="1" x14ac:dyDescent="0.3">
      <c r="A198" s="2" t="s">
        <v>114</v>
      </c>
      <c r="B198" s="2" t="s">
        <v>118</v>
      </c>
      <c r="C198" s="2" t="s">
        <v>78</v>
      </c>
      <c r="D198" s="2" t="str">
        <f>IFERROR(VLOOKUP(C198,'ATP - Keywords'!$B:$B,1,FALSE),"#N/A")</f>
        <v>Unbranded DLBCL Resources</v>
      </c>
      <c r="E198" s="2" t="s">
        <v>198</v>
      </c>
      <c r="F198" s="2" t="str">
        <f>IFERROR(VLOOKUP(E198,'ATP - Keywords'!$C:$C,1,FALSE),"#N/A")</f>
        <v>dlbcl caregiver resources</v>
      </c>
      <c r="G198" s="2" t="s">
        <v>269</v>
      </c>
      <c r="H198" s="2" t="s">
        <v>190</v>
      </c>
      <c r="I198" s="2" t="s">
        <v>81</v>
      </c>
      <c r="J198" s="2" t="str">
        <f>IFERROR(VLOOKUP(I198,'ATP - Keywords'!$E:$E,1,FALSE),"#N/A")</f>
        <v>https://www.columvi.com/resources/helpful-links.html</v>
      </c>
      <c r="K198" s="2" t="str">
        <f t="shared" si="3"/>
        <v>https://www.columvi.com/resources/helpful-links.html?c=gft-18903220006</v>
      </c>
      <c r="L198" s="2" t="b">
        <v>1</v>
      </c>
      <c r="M198" s="2" t="s">
        <v>3</v>
      </c>
    </row>
    <row r="199" spans="1:13" ht="15.75" customHeight="1" x14ac:dyDescent="0.3">
      <c r="A199" s="2" t="s">
        <v>114</v>
      </c>
      <c r="B199" s="2" t="s">
        <v>118</v>
      </c>
      <c r="C199" s="2" t="s">
        <v>78</v>
      </c>
      <c r="D199" s="2" t="str">
        <f>IFERROR(VLOOKUP(C199,'ATP - Keywords'!$B:$B,1,FALSE),"#N/A")</f>
        <v>Unbranded DLBCL Resources</v>
      </c>
      <c r="E199" s="2" t="s">
        <v>199</v>
      </c>
      <c r="F199" s="2" t="str">
        <f>IFERROR(VLOOKUP(E199,'ATP - Keywords'!$C:$C,1,FALSE),"#N/A")</f>
        <v>dlbcl resources for caregivers</v>
      </c>
      <c r="G199" s="2" t="s">
        <v>269</v>
      </c>
      <c r="H199" s="2" t="s">
        <v>190</v>
      </c>
      <c r="I199" s="2" t="s">
        <v>81</v>
      </c>
      <c r="J199" s="2" t="str">
        <f>IFERROR(VLOOKUP(I199,'ATP - Keywords'!$E:$E,1,FALSE),"#N/A")</f>
        <v>https://www.columvi.com/resources/helpful-links.html</v>
      </c>
      <c r="K199" s="2" t="str">
        <f t="shared" si="3"/>
        <v>https://www.columvi.com/resources/helpful-links.html?c=gft-18903220006</v>
      </c>
      <c r="L199" s="2" t="b">
        <v>1</v>
      </c>
      <c r="M199" s="2" t="s">
        <v>3</v>
      </c>
    </row>
    <row r="200" spans="1:13" ht="15.75" customHeight="1" x14ac:dyDescent="0.3">
      <c r="A200" s="2" t="s">
        <v>114</v>
      </c>
      <c r="B200" s="2" t="s">
        <v>118</v>
      </c>
      <c r="C200" s="2" t="s">
        <v>78</v>
      </c>
      <c r="D200" s="2" t="str">
        <f>IFERROR(VLOOKUP(C200,'ATP - Keywords'!$B:$B,1,FALSE),"#N/A")</f>
        <v>Unbranded DLBCL Resources</v>
      </c>
      <c r="E200" s="2" t="s">
        <v>200</v>
      </c>
      <c r="F200" s="2" t="str">
        <f>IFERROR(VLOOKUP(E200,'ATP - Keywords'!$C:$C,1,FALSE),"#N/A")</f>
        <v>dlbcl support</v>
      </c>
      <c r="G200" s="2" t="s">
        <v>269</v>
      </c>
      <c r="H200" s="2" t="s">
        <v>190</v>
      </c>
      <c r="I200" s="2" t="s">
        <v>81</v>
      </c>
      <c r="J200" s="2" t="str">
        <f>IFERROR(VLOOKUP(I200,'ATP - Keywords'!$E:$E,1,FALSE),"#N/A")</f>
        <v>https://www.columvi.com/resources/helpful-links.html</v>
      </c>
      <c r="K200" s="2" t="str">
        <f t="shared" si="3"/>
        <v>https://www.columvi.com/resources/helpful-links.html?c=gft-18903220006</v>
      </c>
      <c r="L200" s="2" t="b">
        <v>1</v>
      </c>
      <c r="M200" s="2" t="s">
        <v>3</v>
      </c>
    </row>
    <row r="201" spans="1:13" ht="15.75" customHeight="1" x14ac:dyDescent="0.3">
      <c r="A201" s="2" t="s">
        <v>114</v>
      </c>
      <c r="B201" s="2" t="s">
        <v>118</v>
      </c>
      <c r="C201" s="2" t="s">
        <v>78</v>
      </c>
      <c r="D201" s="2" t="str">
        <f>IFERROR(VLOOKUP(C201,'ATP - Keywords'!$B:$B,1,FALSE),"#N/A")</f>
        <v>Unbranded DLBCL Resources</v>
      </c>
      <c r="E201" s="2" t="s">
        <v>201</v>
      </c>
      <c r="F201" s="2" t="str">
        <f>IFERROR(VLOOKUP(E201,'ATP - Keywords'!$C:$C,1,FALSE),"#N/A")</f>
        <v>patient support dlbcl</v>
      </c>
      <c r="G201" s="2" t="s">
        <v>269</v>
      </c>
      <c r="H201" s="2" t="s">
        <v>190</v>
      </c>
      <c r="I201" s="2" t="s">
        <v>81</v>
      </c>
      <c r="J201" s="2" t="str">
        <f>IFERROR(VLOOKUP(I201,'ATP - Keywords'!$E:$E,1,FALSE),"#N/A")</f>
        <v>https://www.columvi.com/resources/helpful-links.html</v>
      </c>
      <c r="K201" s="2" t="str">
        <f t="shared" si="3"/>
        <v>https://www.columvi.com/resources/helpful-links.html?c=gft-18903220006</v>
      </c>
      <c r="L201" s="2" t="b">
        <v>1</v>
      </c>
      <c r="M201" s="2" t="s">
        <v>3</v>
      </c>
    </row>
    <row r="202" spans="1:13" ht="15.75" customHeight="1" x14ac:dyDescent="0.3">
      <c r="A202" s="2" t="s">
        <v>114</v>
      </c>
      <c r="B202" s="2" t="s">
        <v>118</v>
      </c>
      <c r="C202" s="2" t="s">
        <v>78</v>
      </c>
      <c r="D202" s="2" t="str">
        <f>IFERROR(VLOOKUP(C202,'ATP - Keywords'!$B:$B,1,FALSE),"#N/A")</f>
        <v>Unbranded DLBCL Resources</v>
      </c>
      <c r="E202" s="2" t="s">
        <v>202</v>
      </c>
      <c r="F202" s="2" t="str">
        <f>IFERROR(VLOOKUP(E202,'ATP - Keywords'!$C:$C,1,FALSE),"#N/A")</f>
        <v>downloadable resources for dlbcl</v>
      </c>
      <c r="G202" s="2" t="s">
        <v>269</v>
      </c>
      <c r="H202" s="2" t="s">
        <v>190</v>
      </c>
      <c r="I202" s="2" t="s">
        <v>81</v>
      </c>
      <c r="J202" s="2" t="str">
        <f>IFERROR(VLOOKUP(I202,'ATP - Keywords'!$E:$E,1,FALSE),"#N/A")</f>
        <v>https://www.columvi.com/resources/helpful-links.html</v>
      </c>
      <c r="K202" s="2" t="str">
        <f t="shared" si="3"/>
        <v>https://www.columvi.com/resources/helpful-links.html?c=gft-18903220006</v>
      </c>
      <c r="L202" s="2" t="b">
        <v>1</v>
      </c>
      <c r="M202" s="2" t="s">
        <v>3</v>
      </c>
    </row>
    <row r="203" spans="1:13" ht="15.75" customHeight="1" x14ac:dyDescent="0.3">
      <c r="A203" s="2" t="s">
        <v>114</v>
      </c>
      <c r="B203" s="2" t="s">
        <v>118</v>
      </c>
      <c r="C203" s="2" t="s">
        <v>78</v>
      </c>
      <c r="D203" s="2" t="str">
        <f>IFERROR(VLOOKUP(C203,'ATP - Keywords'!$B:$B,1,FALSE),"#N/A")</f>
        <v>Unbranded DLBCL Resources</v>
      </c>
      <c r="E203" s="2" t="s">
        <v>203</v>
      </c>
      <c r="F203" s="2" t="str">
        <f>IFERROR(VLOOKUP(E203,'ATP - Keywords'!$C:$C,1,FALSE),"#N/A")</f>
        <v>dlbcl brochure</v>
      </c>
      <c r="G203" s="2" t="s">
        <v>269</v>
      </c>
      <c r="H203" s="2" t="s">
        <v>190</v>
      </c>
      <c r="I203" s="2" t="s">
        <v>81</v>
      </c>
      <c r="J203" s="2" t="str">
        <f>IFERROR(VLOOKUP(I203,'ATP - Keywords'!$E:$E,1,FALSE),"#N/A")</f>
        <v>https://www.columvi.com/resources/helpful-links.html</v>
      </c>
      <c r="K203" s="2" t="str">
        <f t="shared" si="3"/>
        <v>https://www.columvi.com/resources/helpful-links.html?c=gft-18903220006</v>
      </c>
      <c r="L203" s="2" t="b">
        <v>1</v>
      </c>
      <c r="M203" s="2" t="s">
        <v>3</v>
      </c>
    </row>
    <row r="204" spans="1:13" ht="15.75" customHeight="1" x14ac:dyDescent="0.3">
      <c r="A204" s="2" t="s">
        <v>114</v>
      </c>
      <c r="B204" s="2" t="s">
        <v>118</v>
      </c>
      <c r="C204" s="2" t="s">
        <v>78</v>
      </c>
      <c r="D204" s="2" t="str">
        <f>IFERROR(VLOOKUP(C204,'ATP - Keywords'!$B:$B,1,FALSE),"#N/A")</f>
        <v>Unbranded DLBCL Resources</v>
      </c>
      <c r="E204" s="2" t="s">
        <v>204</v>
      </c>
      <c r="F204" s="2" t="str">
        <f>IFERROR(VLOOKUP(E204,'ATP - Keywords'!$C:$C,1,FALSE),"#N/A")</f>
        <v>dlbcl patient brochure</v>
      </c>
      <c r="G204" s="2" t="s">
        <v>269</v>
      </c>
      <c r="H204" s="2" t="s">
        <v>190</v>
      </c>
      <c r="I204" s="2" t="s">
        <v>81</v>
      </c>
      <c r="J204" s="2" t="str">
        <f>IFERROR(VLOOKUP(I204,'ATP - Keywords'!$E:$E,1,FALSE),"#N/A")</f>
        <v>https://www.columvi.com/resources/helpful-links.html</v>
      </c>
      <c r="K204" s="2" t="str">
        <f t="shared" si="3"/>
        <v>https://www.columvi.com/resources/helpful-links.html?c=gft-18903220006</v>
      </c>
      <c r="L204" s="2" t="b">
        <v>1</v>
      </c>
      <c r="M204" s="2" t="s">
        <v>3</v>
      </c>
    </row>
    <row r="205" spans="1:13" ht="15.75" customHeight="1" x14ac:dyDescent="0.3">
      <c r="A205" s="2" t="s">
        <v>114</v>
      </c>
      <c r="B205" s="2" t="s">
        <v>119</v>
      </c>
      <c r="C205" s="2" t="s">
        <v>83</v>
      </c>
      <c r="D205" s="2" t="str">
        <f>IFERROR(VLOOKUP(C205,'ATP - Keywords'!$B:$B,1,FALSE),"#N/A")</f>
        <v>Unbranded DLBCL Financial Support</v>
      </c>
      <c r="E205" s="2" t="s">
        <v>205</v>
      </c>
      <c r="F205" s="2" t="str">
        <f>IFERROR(VLOOKUP(E205,'ATP - Keywords'!$C:$C,1,FALSE),"#N/A")</f>
        <v>dlbcl financial support</v>
      </c>
      <c r="G205" s="2" t="s">
        <v>269</v>
      </c>
      <c r="H205" s="2" t="s">
        <v>206</v>
      </c>
      <c r="I205" s="2" t="s">
        <v>88</v>
      </c>
      <c r="J205" s="2" t="str">
        <f>IFERROR(VLOOKUP(I205,'ATP - Keywords'!$E:$E,1,FALSE),"#N/A")</f>
        <v>https://www.columvi.com/financial-support/assistance-options.html</v>
      </c>
      <c r="K205" s="2" t="str">
        <f t="shared" si="3"/>
        <v>https://www.columvi.com/financial-support/assistance-options.html?c=gft-18903220006</v>
      </c>
      <c r="L205" s="2" t="b">
        <v>1</v>
      </c>
      <c r="M205" s="2" t="s">
        <v>3</v>
      </c>
    </row>
    <row r="206" spans="1:13" ht="15.75" customHeight="1" x14ac:dyDescent="0.3">
      <c r="A206" s="2" t="s">
        <v>114</v>
      </c>
      <c r="B206" s="2" t="s">
        <v>119</v>
      </c>
      <c r="C206" s="2" t="s">
        <v>83</v>
      </c>
      <c r="D206" s="2" t="str">
        <f>IFERROR(VLOOKUP(C206,'ATP - Keywords'!$B:$B,1,FALSE),"#N/A")</f>
        <v>Unbranded DLBCL Financial Support</v>
      </c>
      <c r="E206" s="2" t="s">
        <v>207</v>
      </c>
      <c r="F206" s="2" t="str">
        <f>IFERROR(VLOOKUP(E206,'ATP - Keywords'!$C:$C,1,FALSE),"#N/A")</f>
        <v>dlbcl financial assistance</v>
      </c>
      <c r="G206" s="2" t="s">
        <v>269</v>
      </c>
      <c r="H206" s="2" t="s">
        <v>206</v>
      </c>
      <c r="I206" s="2" t="s">
        <v>88</v>
      </c>
      <c r="J206" s="2" t="str">
        <f>IFERROR(VLOOKUP(I206,'ATP - Keywords'!$E:$E,1,FALSE),"#N/A")</f>
        <v>https://www.columvi.com/financial-support/assistance-options.html</v>
      </c>
      <c r="K206" s="2" t="str">
        <f t="shared" si="3"/>
        <v>https://www.columvi.com/financial-support/assistance-options.html?c=gft-18903220006</v>
      </c>
      <c r="L206" s="2" t="b">
        <v>1</v>
      </c>
      <c r="M206" s="2" t="s">
        <v>3</v>
      </c>
    </row>
    <row r="207" spans="1:13" ht="15.75" customHeight="1" x14ac:dyDescent="0.3">
      <c r="A207" s="2" t="s">
        <v>114</v>
      </c>
      <c r="B207" s="2" t="s">
        <v>119</v>
      </c>
      <c r="C207" s="2" t="s">
        <v>83</v>
      </c>
      <c r="D207" s="2" t="str">
        <f>IFERROR(VLOOKUP(C207,'ATP - Keywords'!$B:$B,1,FALSE),"#N/A")</f>
        <v>Unbranded DLBCL Financial Support</v>
      </c>
      <c r="E207" s="2" t="s">
        <v>208</v>
      </c>
      <c r="F207" s="2" t="str">
        <f>IFERROR(VLOOKUP(E207,'ATP - Keywords'!$C:$C,1,FALSE),"#N/A")</f>
        <v>apply for financial support dlbcl treatment</v>
      </c>
      <c r="G207" s="2" t="s">
        <v>269</v>
      </c>
      <c r="H207" s="2" t="s">
        <v>206</v>
      </c>
      <c r="I207" s="2" t="s">
        <v>88</v>
      </c>
      <c r="J207" s="2" t="str">
        <f>IFERROR(VLOOKUP(I207,'ATP - Keywords'!$E:$E,1,FALSE),"#N/A")</f>
        <v>https://www.columvi.com/financial-support/assistance-options.html</v>
      </c>
      <c r="K207" s="2" t="str">
        <f t="shared" si="3"/>
        <v>https://www.columvi.com/financial-support/assistance-options.html?c=gft-18903220006</v>
      </c>
      <c r="L207" s="2" t="b">
        <v>1</v>
      </c>
      <c r="M207" s="2" t="s">
        <v>3</v>
      </c>
    </row>
    <row r="208" spans="1:13" ht="15.75" customHeight="1" x14ac:dyDescent="0.3">
      <c r="A208" s="2" t="s">
        <v>114</v>
      </c>
      <c r="B208" s="2" t="s">
        <v>119</v>
      </c>
      <c r="C208" s="2" t="s">
        <v>83</v>
      </c>
      <c r="D208" s="2" t="str">
        <f>IFERROR(VLOOKUP(C208,'ATP - Keywords'!$B:$B,1,FALSE),"#N/A")</f>
        <v>Unbranded DLBCL Financial Support</v>
      </c>
      <c r="E208" s="2" t="s">
        <v>209</v>
      </c>
      <c r="F208" s="2" t="str">
        <f>IFERROR(VLOOKUP(E208,'ATP - Keywords'!$C:$C,1,FALSE),"#N/A")</f>
        <v>diffuse large b cell lymphoma financial support</v>
      </c>
      <c r="G208" s="2" t="s">
        <v>269</v>
      </c>
      <c r="H208" s="2" t="s">
        <v>206</v>
      </c>
      <c r="I208" s="2" t="s">
        <v>88</v>
      </c>
      <c r="J208" s="2" t="str">
        <f>IFERROR(VLOOKUP(I208,'ATP - Keywords'!$E:$E,1,FALSE),"#N/A")</f>
        <v>https://www.columvi.com/financial-support/assistance-options.html</v>
      </c>
      <c r="K208" s="2" t="str">
        <f t="shared" si="3"/>
        <v>https://www.columvi.com/financial-support/assistance-options.html?c=gft-18903220006</v>
      </c>
      <c r="L208" s="2" t="b">
        <v>1</v>
      </c>
      <c r="M208" s="2" t="s">
        <v>3</v>
      </c>
    </row>
    <row r="209" spans="1:13" ht="15.75" customHeight="1" x14ac:dyDescent="0.3">
      <c r="A209" s="2" t="s">
        <v>114</v>
      </c>
      <c r="B209" s="2" t="s">
        <v>119</v>
      </c>
      <c r="C209" s="2" t="s">
        <v>83</v>
      </c>
      <c r="D209" s="2" t="str">
        <f>IFERROR(VLOOKUP(C209,'ATP - Keywords'!$B:$B,1,FALSE),"#N/A")</f>
        <v>Unbranded DLBCL Financial Support</v>
      </c>
      <c r="E209" s="2" t="s">
        <v>210</v>
      </c>
      <c r="F209" s="2" t="str">
        <f>IFERROR(VLOOKUP(E209,'ATP - Keywords'!$C:$C,1,FALSE),"#N/A")</f>
        <v>diffuse large b cell lymphoma financial assistance</v>
      </c>
      <c r="G209" s="2" t="s">
        <v>269</v>
      </c>
      <c r="H209" s="2" t="s">
        <v>206</v>
      </c>
      <c r="I209" s="2" t="s">
        <v>88</v>
      </c>
      <c r="J209" s="2" t="str">
        <f>IFERROR(VLOOKUP(I209,'ATP - Keywords'!$E:$E,1,FALSE),"#N/A")</f>
        <v>https://www.columvi.com/financial-support/assistance-options.html</v>
      </c>
      <c r="K209" s="2" t="str">
        <f t="shared" si="3"/>
        <v>https://www.columvi.com/financial-support/assistance-options.html?c=gft-18903220006</v>
      </c>
      <c r="L209" s="2" t="b">
        <v>1</v>
      </c>
      <c r="M209" s="2" t="s">
        <v>3</v>
      </c>
    </row>
    <row r="210" spans="1:13" ht="15.75" customHeight="1" x14ac:dyDescent="0.3">
      <c r="A210" s="5" t="s">
        <v>114</v>
      </c>
      <c r="B210" s="5" t="s">
        <v>120</v>
      </c>
      <c r="C210" s="5" t="s">
        <v>90</v>
      </c>
      <c r="D210" s="2" t="str">
        <f>IFERROR(VLOOKUP(C210,'ATP - Keywords'!$B:$B,1,FALSE),"#N/A")</f>
        <v>Unbranded DLBCL Results</v>
      </c>
      <c r="E210" s="5" t="s">
        <v>211</v>
      </c>
      <c r="F210" s="2" t="str">
        <f>IFERROR(VLOOKUP(E210,'ATP - Keywords'!$C:$C,1,FALSE),"#N/A")</f>
        <v>dlbcl results</v>
      </c>
      <c r="G210" s="5" t="s">
        <v>269</v>
      </c>
      <c r="H210" s="5" t="s">
        <v>212</v>
      </c>
      <c r="I210" s="5" t="s">
        <v>91</v>
      </c>
      <c r="J210" s="5" t="str">
        <f>IFERROR(VLOOKUP(I210,'ATP - Keywords'!$E:$E,1,FALSE),"#N/A")</f>
        <v>https://www.columvi.com/columvi-results/clinical-trial-results.html</v>
      </c>
      <c r="K210" s="5" t="str">
        <f t="shared" si="3"/>
        <v>https://www.columvi.com/columvi-results/clinical-trial-results.html?c=gft-18903220006</v>
      </c>
      <c r="L210" s="5" t="b">
        <v>1</v>
      </c>
      <c r="M210" s="5" t="s">
        <v>3</v>
      </c>
    </row>
    <row r="211" spans="1:13" ht="15.75" customHeight="1" x14ac:dyDescent="0.3">
      <c r="A211" s="5" t="s">
        <v>114</v>
      </c>
      <c r="B211" s="5" t="s">
        <v>120</v>
      </c>
      <c r="C211" s="5" t="s">
        <v>90</v>
      </c>
      <c r="D211" s="2" t="str">
        <f>IFERROR(VLOOKUP(C211,'ATP - Keywords'!$B:$B,1,FALSE),"#N/A")</f>
        <v>Unbranded DLBCL Results</v>
      </c>
      <c r="E211" s="5" t="s">
        <v>213</v>
      </c>
      <c r="F211" s="2" t="str">
        <f>IFERROR(VLOOKUP(E211,'ATP - Keywords'!$C:$C,1,FALSE),"#N/A")</f>
        <v>results for dlbcl</v>
      </c>
      <c r="G211" s="5" t="s">
        <v>269</v>
      </c>
      <c r="H211" s="5" t="s">
        <v>212</v>
      </c>
      <c r="I211" s="5" t="s">
        <v>91</v>
      </c>
      <c r="J211" s="5" t="str">
        <f>IFERROR(VLOOKUP(I211,'ATP - Keywords'!$E:$E,1,FALSE),"#N/A")</f>
        <v>https://www.columvi.com/columvi-results/clinical-trial-results.html</v>
      </c>
      <c r="K211" s="5" t="str">
        <f t="shared" si="3"/>
        <v>https://www.columvi.com/columvi-results/clinical-trial-results.html?c=gft-18903220006</v>
      </c>
      <c r="L211" s="5" t="b">
        <v>1</v>
      </c>
      <c r="M211" s="5" t="s">
        <v>3</v>
      </c>
    </row>
    <row r="212" spans="1:13" ht="15.75" customHeight="1" x14ac:dyDescent="0.3">
      <c r="A212" s="5" t="s">
        <v>114</v>
      </c>
      <c r="B212" s="5" t="s">
        <v>120</v>
      </c>
      <c r="C212" s="5" t="s">
        <v>90</v>
      </c>
      <c r="D212" s="2" t="str">
        <f>IFERROR(VLOOKUP(C212,'ATP - Keywords'!$B:$B,1,FALSE),"#N/A")</f>
        <v>Unbranded DLBCL Results</v>
      </c>
      <c r="E212" s="5" t="s">
        <v>214</v>
      </c>
      <c r="F212" s="2" t="str">
        <f>IFERROR(VLOOKUP(E212,'ATP - Keywords'!$C:$C,1,FALSE),"#N/A")</f>
        <v>large b cell lymphoma results</v>
      </c>
      <c r="G212" s="5" t="s">
        <v>269</v>
      </c>
      <c r="H212" s="5" t="s">
        <v>212</v>
      </c>
      <c r="I212" s="5" t="s">
        <v>91</v>
      </c>
      <c r="J212" s="5" t="str">
        <f>IFERROR(VLOOKUP(I212,'ATP - Keywords'!$E:$E,1,FALSE),"#N/A")</f>
        <v>https://www.columvi.com/columvi-results/clinical-trial-results.html</v>
      </c>
      <c r="K212" s="5" t="str">
        <f t="shared" si="3"/>
        <v>https://www.columvi.com/columvi-results/clinical-trial-results.html?c=gft-18903220006</v>
      </c>
      <c r="L212" s="5" t="b">
        <v>1</v>
      </c>
      <c r="M212" s="5" t="s">
        <v>3</v>
      </c>
    </row>
    <row r="213" spans="1:13" ht="15.75" customHeight="1" x14ac:dyDescent="0.3">
      <c r="A213" s="5" t="s">
        <v>114</v>
      </c>
      <c r="B213" s="5" t="s">
        <v>120</v>
      </c>
      <c r="C213" s="5" t="s">
        <v>90</v>
      </c>
      <c r="D213" s="2" t="str">
        <f>IFERROR(VLOOKUP(C213,'ATP - Keywords'!$B:$B,1,FALSE),"#N/A")</f>
        <v>Unbranded DLBCL Results</v>
      </c>
      <c r="E213" s="5" t="s">
        <v>215</v>
      </c>
      <c r="F213" s="2" t="str">
        <f>IFERROR(VLOOKUP(E213,'ATP - Keywords'!$C:$C,1,FALSE),"#N/A")</f>
        <v>results for large b cell lymphoma</v>
      </c>
      <c r="G213" s="5" t="s">
        <v>269</v>
      </c>
      <c r="H213" s="5" t="s">
        <v>212</v>
      </c>
      <c r="I213" s="5" t="s">
        <v>91</v>
      </c>
      <c r="J213" s="5" t="str">
        <f>IFERROR(VLOOKUP(I213,'ATP - Keywords'!$E:$E,1,FALSE),"#N/A")</f>
        <v>https://www.columvi.com/columvi-results/clinical-trial-results.html</v>
      </c>
      <c r="K213" s="5" t="str">
        <f t="shared" si="3"/>
        <v>https://www.columvi.com/columvi-results/clinical-trial-results.html?c=gft-18903220006</v>
      </c>
      <c r="L213" s="5" t="b">
        <v>1</v>
      </c>
      <c r="M213" s="5" t="s">
        <v>3</v>
      </c>
    </row>
    <row r="214" spans="1:13" ht="15.75" customHeight="1" x14ac:dyDescent="0.3">
      <c r="A214" s="5" t="s">
        <v>114</v>
      </c>
      <c r="B214" s="5" t="s">
        <v>120</v>
      </c>
      <c r="C214" s="5" t="s">
        <v>90</v>
      </c>
      <c r="D214" s="2" t="str">
        <f>IFERROR(VLOOKUP(C214,'ATP - Keywords'!$B:$B,1,FALSE),"#N/A")</f>
        <v>Unbranded DLBCL Results</v>
      </c>
      <c r="E214" s="5" t="s">
        <v>216</v>
      </c>
      <c r="F214" s="2" t="str">
        <f>IFERROR(VLOOKUP(E214,'ATP - Keywords'!$C:$C,1,FALSE),"#N/A")</f>
        <v>relapsed refractory large b cell lymphoma results</v>
      </c>
      <c r="G214" s="5" t="s">
        <v>269</v>
      </c>
      <c r="H214" s="5" t="s">
        <v>212</v>
      </c>
      <c r="I214" s="5" t="s">
        <v>91</v>
      </c>
      <c r="J214" s="5" t="str">
        <f>IFERROR(VLOOKUP(I214,'ATP - Keywords'!$E:$E,1,FALSE),"#N/A")</f>
        <v>https://www.columvi.com/columvi-results/clinical-trial-results.html</v>
      </c>
      <c r="K214" s="5" t="str">
        <f t="shared" si="3"/>
        <v>https://www.columvi.com/columvi-results/clinical-trial-results.html?c=gft-18903220006</v>
      </c>
      <c r="L214" s="5" t="b">
        <v>1</v>
      </c>
      <c r="M214" s="5" t="s">
        <v>3</v>
      </c>
    </row>
    <row r="215" spans="1:13" ht="15.75" customHeight="1" x14ac:dyDescent="0.3">
      <c r="A215" s="5" t="s">
        <v>114</v>
      </c>
      <c r="B215" s="5" t="s">
        <v>120</v>
      </c>
      <c r="C215" s="5" t="s">
        <v>90</v>
      </c>
      <c r="D215" s="2" t="str">
        <f>IFERROR(VLOOKUP(C215,'ATP - Keywords'!$B:$B,1,FALSE),"#N/A")</f>
        <v>Unbranded DLBCL Results</v>
      </c>
      <c r="E215" s="5" t="s">
        <v>217</v>
      </c>
      <c r="F215" s="2" t="str">
        <f>IFERROR(VLOOKUP(E215,'ATP - Keywords'!$C:$C,1,FALSE),"#N/A")</f>
        <v>results for relapsed refractory large b cell lymphoma</v>
      </c>
      <c r="G215" s="5" t="s">
        <v>269</v>
      </c>
      <c r="H215" s="5" t="s">
        <v>212</v>
      </c>
      <c r="I215" s="5" t="s">
        <v>91</v>
      </c>
      <c r="J215" s="5" t="str">
        <f>IFERROR(VLOOKUP(I215,'ATP - Keywords'!$E:$E,1,FALSE),"#N/A")</f>
        <v>https://www.columvi.com/columvi-results/clinical-trial-results.html</v>
      </c>
      <c r="K215" s="5" t="str">
        <f t="shared" si="3"/>
        <v>https://www.columvi.com/columvi-results/clinical-trial-results.html?c=gft-18903220006</v>
      </c>
      <c r="L215" s="5" t="b">
        <v>1</v>
      </c>
      <c r="M215" s="5" t="s">
        <v>3</v>
      </c>
    </row>
    <row r="216" spans="1:13" ht="15.75" customHeight="1" x14ac:dyDescent="0.3">
      <c r="A216" s="5" t="s">
        <v>114</v>
      </c>
      <c r="B216" s="5" t="s">
        <v>120</v>
      </c>
      <c r="C216" s="5" t="s">
        <v>90</v>
      </c>
      <c r="D216" s="2" t="str">
        <f>IFERROR(VLOOKUP(C216,'ATP - Keywords'!$B:$B,1,FALSE),"#N/A")</f>
        <v>Unbranded DLBCL Results</v>
      </c>
      <c r="E216" s="5" t="s">
        <v>218</v>
      </c>
      <c r="F216" s="2" t="str">
        <f>IFERROR(VLOOKUP(E216,'ATP - Keywords'!$C:$C,1,FALSE),"#N/A")</f>
        <v>dlbcl clinical results</v>
      </c>
      <c r="G216" s="5" t="s">
        <v>269</v>
      </c>
      <c r="H216" s="5" t="s">
        <v>212</v>
      </c>
      <c r="I216" s="5" t="s">
        <v>91</v>
      </c>
      <c r="J216" s="5" t="str">
        <f>IFERROR(VLOOKUP(I216,'ATP - Keywords'!$E:$E,1,FALSE),"#N/A")</f>
        <v>https://www.columvi.com/columvi-results/clinical-trial-results.html</v>
      </c>
      <c r="K216" s="5" t="str">
        <f t="shared" si="3"/>
        <v>https://www.columvi.com/columvi-results/clinical-trial-results.html?c=gft-18903220006</v>
      </c>
      <c r="L216" s="5" t="b">
        <v>1</v>
      </c>
      <c r="M216" s="5" t="s">
        <v>3</v>
      </c>
    </row>
    <row r="217" spans="1:13" ht="15.75" customHeight="1" x14ac:dyDescent="0.3">
      <c r="A217" s="5" t="s">
        <v>114</v>
      </c>
      <c r="B217" s="5" t="s">
        <v>120</v>
      </c>
      <c r="C217" s="5" t="s">
        <v>90</v>
      </c>
      <c r="D217" s="2" t="str">
        <f>IFERROR(VLOOKUP(C217,'ATP - Keywords'!$B:$B,1,FALSE),"#N/A")</f>
        <v>Unbranded DLBCL Results</v>
      </c>
      <c r="E217" s="5" t="s">
        <v>219</v>
      </c>
      <c r="F217" s="2" t="str">
        <f>IFERROR(VLOOKUP(E217,'ATP - Keywords'!$C:$C,1,FALSE),"#N/A")</f>
        <v>dlbcl clinical trial data</v>
      </c>
      <c r="G217" s="5" t="s">
        <v>269</v>
      </c>
      <c r="H217" s="5" t="s">
        <v>212</v>
      </c>
      <c r="I217" s="5" t="s">
        <v>91</v>
      </c>
      <c r="J217" s="5" t="str">
        <f>IFERROR(VLOOKUP(I217,'ATP - Keywords'!$E:$E,1,FALSE),"#N/A")</f>
        <v>https://www.columvi.com/columvi-results/clinical-trial-results.html</v>
      </c>
      <c r="K217" s="5" t="str">
        <f t="shared" si="3"/>
        <v>https://www.columvi.com/columvi-results/clinical-trial-results.html?c=gft-18903220006</v>
      </c>
      <c r="L217" s="5" t="b">
        <v>1</v>
      </c>
      <c r="M217" s="5" t="s">
        <v>3</v>
      </c>
    </row>
    <row r="218" spans="1:13" ht="15.75" customHeight="1" x14ac:dyDescent="0.3">
      <c r="A218" s="5" t="s">
        <v>114</v>
      </c>
      <c r="B218" s="5" t="s">
        <v>120</v>
      </c>
      <c r="C218" s="5" t="s">
        <v>90</v>
      </c>
      <c r="D218" s="2" t="str">
        <f>IFERROR(VLOOKUP(C218,'ATP - Keywords'!$B:$B,1,FALSE),"#N/A")</f>
        <v>Unbranded DLBCL Results</v>
      </c>
      <c r="E218" s="5" t="s">
        <v>220</v>
      </c>
      <c r="F218" s="2" t="str">
        <f>IFERROR(VLOOKUP(E218,'ATP - Keywords'!$C:$C,1,FALSE),"#N/A")</f>
        <v>diffuse large b cell lymphoma clinical trials</v>
      </c>
      <c r="G218" s="5" t="s">
        <v>269</v>
      </c>
      <c r="H218" s="5" t="s">
        <v>212</v>
      </c>
      <c r="I218" s="5" t="s">
        <v>91</v>
      </c>
      <c r="J218" s="5" t="str">
        <f>IFERROR(VLOOKUP(I218,'ATP - Keywords'!$E:$E,1,FALSE),"#N/A")</f>
        <v>https://www.columvi.com/columvi-results/clinical-trial-results.html</v>
      </c>
      <c r="K218" s="5" t="str">
        <f t="shared" si="3"/>
        <v>https://www.columvi.com/columvi-results/clinical-trial-results.html?c=gft-18903220006</v>
      </c>
      <c r="L218" s="5" t="b">
        <v>1</v>
      </c>
      <c r="M218" s="5" t="s">
        <v>3</v>
      </c>
    </row>
    <row r="219" spans="1:13" ht="15.75" customHeight="1" x14ac:dyDescent="0.3">
      <c r="A219" s="5" t="s">
        <v>114</v>
      </c>
      <c r="B219" s="5" t="s">
        <v>120</v>
      </c>
      <c r="C219" s="5" t="s">
        <v>90</v>
      </c>
      <c r="D219" s="2" t="str">
        <f>IFERROR(VLOOKUP(C219,'ATP - Keywords'!$B:$B,1,FALSE),"#N/A")</f>
        <v>Unbranded DLBCL Results</v>
      </c>
      <c r="E219" s="5" t="s">
        <v>221</v>
      </c>
      <c r="F219" s="2" t="str">
        <f>IFERROR(VLOOKUP(E219,'ATP - Keywords'!$C:$C,1,FALSE),"#N/A")</f>
        <v>dlbcl clinical studies</v>
      </c>
      <c r="G219" s="5" t="s">
        <v>269</v>
      </c>
      <c r="H219" s="5" t="s">
        <v>212</v>
      </c>
      <c r="I219" s="5" t="s">
        <v>91</v>
      </c>
      <c r="J219" s="5" t="str">
        <f>IFERROR(VLOOKUP(I219,'ATP - Keywords'!$E:$E,1,FALSE),"#N/A")</f>
        <v>https://www.columvi.com/columvi-results/clinical-trial-results.html</v>
      </c>
      <c r="K219" s="5" t="str">
        <f t="shared" si="3"/>
        <v>https://www.columvi.com/columvi-results/clinical-trial-results.html?c=gft-18903220006</v>
      </c>
      <c r="L219" s="5" t="b">
        <v>1</v>
      </c>
      <c r="M219" s="5" t="s">
        <v>3</v>
      </c>
    </row>
    <row r="220" spans="1:13" ht="15.75" customHeight="1" x14ac:dyDescent="0.3">
      <c r="A220" s="2" t="s">
        <v>121</v>
      </c>
      <c r="B220" s="2" t="s">
        <v>122</v>
      </c>
      <c r="C220" s="2" t="s">
        <v>95</v>
      </c>
      <c r="D220" s="2" t="str">
        <f>IFERROR(VLOOKUP(C220,'ATP - Keywords'!$B:$B,1,FALSE),"#N/A")</f>
        <v>Unbranded DLBCL Developments</v>
      </c>
      <c r="E220" s="2" t="s">
        <v>222</v>
      </c>
      <c r="F220" s="2" t="str">
        <f>IFERROR(VLOOKUP(E220,'ATP - Keywords'!$C:$C,1,FALSE),"#N/A")</f>
        <v>latest developments in dlbcl</v>
      </c>
      <c r="G220" s="2" t="s">
        <v>269</v>
      </c>
      <c r="H220" s="2" t="s">
        <v>223</v>
      </c>
      <c r="I220" s="2" t="s">
        <v>96</v>
      </c>
      <c r="J220" s="2" t="str">
        <f>IFERROR(VLOOKUP(I220,'ATP - Keywords'!$E:$E,1,FALSE),"#N/A")</f>
        <v>https://www.columvi.com/about-columvi/how-it-works.html</v>
      </c>
      <c r="K220" s="2" t="str">
        <f t="shared" si="3"/>
        <v>https://www.columvi.com/about-columvi/how-it-works.html?c=gft-18903220006</v>
      </c>
      <c r="L220" s="2" t="b">
        <v>1</v>
      </c>
      <c r="M220" s="2" t="s">
        <v>3</v>
      </c>
    </row>
    <row r="221" spans="1:13" ht="15.75" customHeight="1" x14ac:dyDescent="0.3">
      <c r="A221" s="2" t="s">
        <v>121</v>
      </c>
      <c r="B221" s="2" t="s">
        <v>122</v>
      </c>
      <c r="C221" s="2" t="s">
        <v>95</v>
      </c>
      <c r="D221" s="2" t="str">
        <f>IFERROR(VLOOKUP(C221,'ATP - Keywords'!$B:$B,1,FALSE),"#N/A")</f>
        <v>Unbranded DLBCL Developments</v>
      </c>
      <c r="E221" s="2" t="s">
        <v>224</v>
      </c>
      <c r="F221" s="2" t="str">
        <f>IFERROR(VLOOKUP(E221,'ATP - Keywords'!$C:$C,1,FALSE),"#N/A")</f>
        <v>dlbcl latest developments</v>
      </c>
      <c r="G221" s="2" t="s">
        <v>269</v>
      </c>
      <c r="H221" s="2" t="s">
        <v>223</v>
      </c>
      <c r="I221" s="2" t="s">
        <v>96</v>
      </c>
      <c r="J221" s="2" t="str">
        <f>IFERROR(VLOOKUP(I221,'ATP - Keywords'!$E:$E,1,FALSE),"#N/A")</f>
        <v>https://www.columvi.com/about-columvi/how-it-works.html</v>
      </c>
      <c r="K221" s="2" t="str">
        <f t="shared" si="3"/>
        <v>https://www.columvi.com/about-columvi/how-it-works.html?c=gft-18903220006</v>
      </c>
      <c r="L221" s="2" t="b">
        <v>1</v>
      </c>
      <c r="M221" s="2" t="s">
        <v>3</v>
      </c>
    </row>
    <row r="222" spans="1:13" ht="15.75" customHeight="1" x14ac:dyDescent="0.3">
      <c r="A222" s="2" t="s">
        <v>121</v>
      </c>
      <c r="B222" s="2" t="s">
        <v>122</v>
      </c>
      <c r="C222" s="2" t="s">
        <v>95</v>
      </c>
      <c r="D222" s="2" t="str">
        <f>IFERROR(VLOOKUP(C222,'ATP - Keywords'!$B:$B,1,FALSE),"#N/A")</f>
        <v>Unbranded DLBCL Developments</v>
      </c>
      <c r="E222" s="2" t="s">
        <v>225</v>
      </c>
      <c r="F222" s="2" t="str">
        <f>IFERROR(VLOOKUP(E222,'ATP - Keywords'!$C:$C,1,FALSE),"#N/A")</f>
        <v>latest developments in diffuse large b cell lymphoma</v>
      </c>
      <c r="G222" s="2" t="s">
        <v>269</v>
      </c>
      <c r="H222" s="2" t="s">
        <v>223</v>
      </c>
      <c r="I222" s="2" t="s">
        <v>96</v>
      </c>
      <c r="J222" s="2" t="str">
        <f>IFERROR(VLOOKUP(I222,'ATP - Keywords'!$E:$E,1,FALSE),"#N/A")</f>
        <v>https://www.columvi.com/about-columvi/how-it-works.html</v>
      </c>
      <c r="K222" s="2" t="str">
        <f t="shared" si="3"/>
        <v>https://www.columvi.com/about-columvi/how-it-works.html?c=gft-18903220006</v>
      </c>
      <c r="L222" s="2" t="b">
        <v>1</v>
      </c>
      <c r="M222" s="2" t="s">
        <v>3</v>
      </c>
    </row>
    <row r="223" spans="1:13" ht="15.75" customHeight="1" x14ac:dyDescent="0.3">
      <c r="A223" s="2" t="s">
        <v>121</v>
      </c>
      <c r="B223" s="2" t="s">
        <v>122</v>
      </c>
      <c r="C223" s="2" t="s">
        <v>95</v>
      </c>
      <c r="D223" s="2" t="str">
        <f>IFERROR(VLOOKUP(C223,'ATP - Keywords'!$B:$B,1,FALSE),"#N/A")</f>
        <v>Unbranded DLBCL Developments</v>
      </c>
      <c r="E223" s="2" t="s">
        <v>226</v>
      </c>
      <c r="F223" s="2" t="str">
        <f>IFERROR(VLOOKUP(E223,'ATP - Keywords'!$C:$C,1,FALSE),"#N/A")</f>
        <v>diffuse large b cell lymphoma latest developments</v>
      </c>
      <c r="G223" s="2" t="s">
        <v>269</v>
      </c>
      <c r="H223" s="2" t="s">
        <v>223</v>
      </c>
      <c r="I223" s="2" t="s">
        <v>96</v>
      </c>
      <c r="J223" s="2" t="str">
        <f>IFERROR(VLOOKUP(I223,'ATP - Keywords'!$E:$E,1,FALSE),"#N/A")</f>
        <v>https://www.columvi.com/about-columvi/how-it-works.html</v>
      </c>
      <c r="K223" s="2" t="str">
        <f t="shared" si="3"/>
        <v>https://www.columvi.com/about-columvi/how-it-works.html?c=gft-18903220006</v>
      </c>
      <c r="L223" s="2" t="b">
        <v>1</v>
      </c>
      <c r="M223" s="2" t="s">
        <v>3</v>
      </c>
    </row>
    <row r="224" spans="1:13" ht="15.75" customHeight="1" x14ac:dyDescent="0.3">
      <c r="A224" s="5" t="s">
        <v>121</v>
      </c>
      <c r="B224" s="5" t="s">
        <v>123</v>
      </c>
      <c r="C224" s="5" t="s">
        <v>98</v>
      </c>
      <c r="D224" s="2" t="str">
        <f>IFERROR(VLOOKUP(C224,'ATP - Keywords'!$B:$B,1,FALSE),"#N/A")</f>
        <v>Unbranded DLBCL Treatment</v>
      </c>
      <c r="E224" s="5" t="s">
        <v>227</v>
      </c>
      <c r="F224" s="2" t="str">
        <f>IFERROR(VLOOKUP(E224,'ATP - Keywords'!$C:$C,1,FALSE),"#N/A")</f>
        <v>dlbcl treatment</v>
      </c>
      <c r="G224" s="5" t="s">
        <v>269</v>
      </c>
      <c r="H224" s="5" t="s">
        <v>228</v>
      </c>
      <c r="I224" s="5" t="s">
        <v>101</v>
      </c>
      <c r="J224" s="5" t="str">
        <f>IFERROR(VLOOKUP(I224,'ATP - Keywords'!$E:$E,1,FALSE),"#N/A")</f>
        <v>https://www.columvi.com/about/treatment-goals-for-3l-dlbcl.html</v>
      </c>
      <c r="K224" s="5" t="str">
        <f t="shared" si="3"/>
        <v>https://www.columvi.com/about/treatment-goals-for-3l-dlbcl.html?c=gft-18903220006</v>
      </c>
      <c r="L224" s="5" t="b">
        <v>1</v>
      </c>
      <c r="M224" s="5" t="s">
        <v>3</v>
      </c>
    </row>
    <row r="225" spans="1:13" ht="15.75" customHeight="1" x14ac:dyDescent="0.3">
      <c r="A225" s="5" t="s">
        <v>121</v>
      </c>
      <c r="B225" s="5" t="s">
        <v>123</v>
      </c>
      <c r="C225" s="5" t="s">
        <v>98</v>
      </c>
      <c r="D225" s="2" t="str">
        <f>IFERROR(VLOOKUP(C225,'ATP - Keywords'!$B:$B,1,FALSE),"#N/A")</f>
        <v>Unbranded DLBCL Treatment</v>
      </c>
      <c r="E225" s="5" t="s">
        <v>229</v>
      </c>
      <c r="F225" s="2" t="str">
        <f>IFERROR(VLOOKUP(E225,'ATP - Keywords'!$C:$C,1,FALSE),"#N/A")</f>
        <v>dlbcl treatment options</v>
      </c>
      <c r="G225" s="5" t="s">
        <v>269</v>
      </c>
      <c r="H225" s="5" t="s">
        <v>228</v>
      </c>
      <c r="I225" s="5" t="s">
        <v>101</v>
      </c>
      <c r="J225" s="5" t="str">
        <f>IFERROR(VLOOKUP(I225,'ATP - Keywords'!$E:$E,1,FALSE),"#N/A")</f>
        <v>https://www.columvi.com/about/treatment-goals-for-3l-dlbcl.html</v>
      </c>
      <c r="K225" s="5" t="str">
        <f t="shared" si="3"/>
        <v>https://www.columvi.com/about/treatment-goals-for-3l-dlbcl.html?c=gft-18903220006</v>
      </c>
      <c r="L225" s="5" t="b">
        <v>1</v>
      </c>
      <c r="M225" s="5" t="s">
        <v>3</v>
      </c>
    </row>
    <row r="226" spans="1:13" ht="15.75" customHeight="1" x14ac:dyDescent="0.3">
      <c r="A226" s="5" t="s">
        <v>121</v>
      </c>
      <c r="B226" s="5" t="s">
        <v>123</v>
      </c>
      <c r="C226" s="5" t="s">
        <v>98</v>
      </c>
      <c r="D226" s="2" t="str">
        <f>IFERROR(VLOOKUP(C226,'ATP - Keywords'!$B:$B,1,FALSE),"#N/A")</f>
        <v>Unbranded DLBCL Treatment</v>
      </c>
      <c r="E226" s="5" t="s">
        <v>230</v>
      </c>
      <c r="F226" s="2" t="str">
        <f>IFERROR(VLOOKUP(E226,'ATP - Keywords'!$C:$C,1,FALSE),"#N/A")</f>
        <v>treating dlbcl</v>
      </c>
      <c r="G226" s="5" t="s">
        <v>269</v>
      </c>
      <c r="H226" s="5" t="s">
        <v>228</v>
      </c>
      <c r="I226" s="5" t="s">
        <v>101</v>
      </c>
      <c r="J226" s="5" t="str">
        <f>IFERROR(VLOOKUP(I226,'ATP - Keywords'!$E:$E,1,FALSE),"#N/A")</f>
        <v>https://www.columvi.com/about/treatment-goals-for-3l-dlbcl.html</v>
      </c>
      <c r="K226" s="5" t="str">
        <f t="shared" si="3"/>
        <v>https://www.columvi.com/about/treatment-goals-for-3l-dlbcl.html?c=gft-18903220006</v>
      </c>
      <c r="L226" s="5" t="b">
        <v>1</v>
      </c>
      <c r="M226" s="5" t="s">
        <v>3</v>
      </c>
    </row>
    <row r="227" spans="1:13" ht="15.75" customHeight="1" x14ac:dyDescent="0.3">
      <c r="A227" s="5" t="s">
        <v>121</v>
      </c>
      <c r="B227" s="5" t="s">
        <v>123</v>
      </c>
      <c r="C227" s="5" t="s">
        <v>98</v>
      </c>
      <c r="D227" s="2" t="str">
        <f>IFERROR(VLOOKUP(C227,'ATP - Keywords'!$B:$B,1,FALSE),"#N/A")</f>
        <v>Unbranded DLBCL Treatment</v>
      </c>
      <c r="E227" s="5" t="s">
        <v>231</v>
      </c>
      <c r="F227" s="2" t="str">
        <f>IFERROR(VLOOKUP(E227,'ATP - Keywords'!$C:$C,1,FALSE),"#N/A")</f>
        <v>how to treat dlbcl</v>
      </c>
      <c r="G227" s="5" t="s">
        <v>269</v>
      </c>
      <c r="H227" s="5" t="s">
        <v>228</v>
      </c>
      <c r="I227" s="5" t="s">
        <v>101</v>
      </c>
      <c r="J227" s="5" t="str">
        <f>IFERROR(VLOOKUP(I227,'ATP - Keywords'!$E:$E,1,FALSE),"#N/A")</f>
        <v>https://www.columvi.com/about/treatment-goals-for-3l-dlbcl.html</v>
      </c>
      <c r="K227" s="5" t="str">
        <f t="shared" si="3"/>
        <v>https://www.columvi.com/about/treatment-goals-for-3l-dlbcl.html?c=gft-18903220006</v>
      </c>
      <c r="L227" s="5" t="b">
        <v>1</v>
      </c>
      <c r="M227" s="5" t="s">
        <v>3</v>
      </c>
    </row>
    <row r="228" spans="1:13" ht="15.75" customHeight="1" x14ac:dyDescent="0.3">
      <c r="A228" s="5" t="s">
        <v>121</v>
      </c>
      <c r="B228" s="5" t="s">
        <v>123</v>
      </c>
      <c r="C228" s="5" t="s">
        <v>98</v>
      </c>
      <c r="D228" s="2" t="str">
        <f>IFERROR(VLOOKUP(C228,'ATP - Keywords'!$B:$B,1,FALSE),"#N/A")</f>
        <v>Unbranded DLBCL Treatment</v>
      </c>
      <c r="E228" s="5" t="s">
        <v>232</v>
      </c>
      <c r="F228" s="2" t="str">
        <f>IFERROR(VLOOKUP(E228,'ATP - Keywords'!$C:$C,1,FALSE),"#N/A")</f>
        <v>treatments for dlbcl</v>
      </c>
      <c r="G228" s="5" t="s">
        <v>269</v>
      </c>
      <c r="H228" s="5" t="s">
        <v>228</v>
      </c>
      <c r="I228" s="5" t="s">
        <v>101</v>
      </c>
      <c r="J228" s="5" t="str">
        <f>IFERROR(VLOOKUP(I228,'ATP - Keywords'!$E:$E,1,FALSE),"#N/A")</f>
        <v>https://www.columvi.com/about/treatment-goals-for-3l-dlbcl.html</v>
      </c>
      <c r="K228" s="5" t="str">
        <f t="shared" si="3"/>
        <v>https://www.columvi.com/about/treatment-goals-for-3l-dlbcl.html?c=gft-18903220006</v>
      </c>
      <c r="L228" s="5" t="b">
        <v>1</v>
      </c>
      <c r="M228" s="5" t="s">
        <v>3</v>
      </c>
    </row>
    <row r="229" spans="1:13" ht="15.75" customHeight="1" x14ac:dyDescent="0.3">
      <c r="A229" s="5" t="s">
        <v>121</v>
      </c>
      <c r="B229" s="5" t="s">
        <v>123</v>
      </c>
      <c r="C229" s="5" t="s">
        <v>98</v>
      </c>
      <c r="D229" s="2" t="str">
        <f>IFERROR(VLOOKUP(C229,'ATP - Keywords'!$B:$B,1,FALSE),"#N/A")</f>
        <v>Unbranded DLBCL Treatment</v>
      </c>
      <c r="E229" s="5" t="s">
        <v>233</v>
      </c>
      <c r="F229" s="2" t="str">
        <f>IFERROR(VLOOKUP(E229,'ATP - Keywords'!$C:$C,1,FALSE),"#N/A")</f>
        <v>treat dlbcl</v>
      </c>
      <c r="G229" s="5" t="s">
        <v>269</v>
      </c>
      <c r="H229" s="5" t="s">
        <v>228</v>
      </c>
      <c r="I229" s="5" t="s">
        <v>101</v>
      </c>
      <c r="J229" s="5" t="str">
        <f>IFERROR(VLOOKUP(I229,'ATP - Keywords'!$E:$E,1,FALSE),"#N/A")</f>
        <v>https://www.columvi.com/about/treatment-goals-for-3l-dlbcl.html</v>
      </c>
      <c r="K229" s="5" t="str">
        <f t="shared" si="3"/>
        <v>https://www.columvi.com/about/treatment-goals-for-3l-dlbcl.html?c=gft-18903220006</v>
      </c>
      <c r="L229" s="5" t="b">
        <v>1</v>
      </c>
      <c r="M229" s="5" t="s">
        <v>3</v>
      </c>
    </row>
    <row r="230" spans="1:13" ht="15.75" customHeight="1" x14ac:dyDescent="0.3">
      <c r="A230" s="5" t="s">
        <v>121</v>
      </c>
      <c r="B230" s="5" t="s">
        <v>123</v>
      </c>
      <c r="C230" s="5" t="s">
        <v>98</v>
      </c>
      <c r="D230" s="2" t="str">
        <f>IFERROR(VLOOKUP(C230,'ATP - Keywords'!$B:$B,1,FALSE),"#N/A")</f>
        <v>Unbranded DLBCL Treatment</v>
      </c>
      <c r="E230" s="5" t="s">
        <v>234</v>
      </c>
      <c r="F230" s="2" t="str">
        <f>IFERROR(VLOOKUP(E230,'ATP - Keywords'!$C:$C,1,FALSE),"#N/A")</f>
        <v>diffuse large b cell lymphoma treatment</v>
      </c>
      <c r="G230" s="5" t="s">
        <v>269</v>
      </c>
      <c r="H230" s="5" t="s">
        <v>228</v>
      </c>
      <c r="I230" s="5" t="s">
        <v>101</v>
      </c>
      <c r="J230" s="5" t="str">
        <f>IFERROR(VLOOKUP(I230,'ATP - Keywords'!$E:$E,1,FALSE),"#N/A")</f>
        <v>https://www.columvi.com/about/treatment-goals-for-3l-dlbcl.html</v>
      </c>
      <c r="K230" s="5" t="str">
        <f t="shared" si="3"/>
        <v>https://www.columvi.com/about/treatment-goals-for-3l-dlbcl.html?c=gft-18903220006</v>
      </c>
      <c r="L230" s="5" t="b">
        <v>1</v>
      </c>
      <c r="M230" s="5" t="s">
        <v>3</v>
      </c>
    </row>
    <row r="231" spans="1:13" ht="15.75" customHeight="1" x14ac:dyDescent="0.3">
      <c r="A231" s="5" t="s">
        <v>121</v>
      </c>
      <c r="B231" s="5" t="s">
        <v>123</v>
      </c>
      <c r="C231" s="5" t="s">
        <v>98</v>
      </c>
      <c r="D231" s="2" t="str">
        <f>IFERROR(VLOOKUP(C231,'ATP - Keywords'!$B:$B,1,FALSE),"#N/A")</f>
        <v>Unbranded DLBCL Treatment</v>
      </c>
      <c r="E231" s="5" t="s">
        <v>235</v>
      </c>
      <c r="F231" s="2" t="str">
        <f>IFERROR(VLOOKUP(E231,'ATP - Keywords'!$C:$C,1,FALSE),"#N/A")</f>
        <v>treatment for diffuse large b cell lymphoma</v>
      </c>
      <c r="G231" s="5" t="s">
        <v>269</v>
      </c>
      <c r="H231" s="5" t="s">
        <v>228</v>
      </c>
      <c r="I231" s="5" t="s">
        <v>101</v>
      </c>
      <c r="J231" s="5" t="str">
        <f>IFERROR(VLOOKUP(I231,'ATP - Keywords'!$E:$E,1,FALSE),"#N/A")</f>
        <v>https://www.columvi.com/about/treatment-goals-for-3l-dlbcl.html</v>
      </c>
      <c r="K231" s="5" t="str">
        <f t="shared" si="3"/>
        <v>https://www.columvi.com/about/treatment-goals-for-3l-dlbcl.html?c=gft-18903220006</v>
      </c>
      <c r="L231" s="5" t="b">
        <v>1</v>
      </c>
      <c r="M231" s="5" t="s">
        <v>3</v>
      </c>
    </row>
    <row r="232" spans="1:13" ht="15.75" customHeight="1" x14ac:dyDescent="0.3">
      <c r="A232" s="5" t="s">
        <v>121</v>
      </c>
      <c r="B232" s="5" t="s">
        <v>123</v>
      </c>
      <c r="C232" s="5" t="s">
        <v>98</v>
      </c>
      <c r="D232" s="2" t="str">
        <f>IFERROR(VLOOKUP(C232,'ATP - Keywords'!$B:$B,1,FALSE),"#N/A")</f>
        <v>Unbranded DLBCL Treatment</v>
      </c>
      <c r="E232" s="5" t="s">
        <v>236</v>
      </c>
      <c r="F232" s="2" t="str">
        <f>IFERROR(VLOOKUP(E232,'ATP - Keywords'!$C:$C,1,FALSE),"#N/A")</f>
        <v>lbcl treatment</v>
      </c>
      <c r="G232" s="5" t="s">
        <v>269</v>
      </c>
      <c r="H232" s="5" t="s">
        <v>228</v>
      </c>
      <c r="I232" s="5" t="s">
        <v>101</v>
      </c>
      <c r="J232" s="5" t="str">
        <f>IFERROR(VLOOKUP(I232,'ATP - Keywords'!$E:$E,1,FALSE),"#N/A")</f>
        <v>https://www.columvi.com/about/treatment-goals-for-3l-dlbcl.html</v>
      </c>
      <c r="K232" s="5" t="str">
        <f t="shared" si="3"/>
        <v>https://www.columvi.com/about/treatment-goals-for-3l-dlbcl.html?c=gft-18903220006</v>
      </c>
      <c r="L232" s="5" t="b">
        <v>1</v>
      </c>
      <c r="M232" s="5" t="s">
        <v>3</v>
      </c>
    </row>
    <row r="233" spans="1:13" ht="15.75" customHeight="1" x14ac:dyDescent="0.3">
      <c r="A233" s="5" t="s">
        <v>121</v>
      </c>
      <c r="B233" s="5" t="s">
        <v>123</v>
      </c>
      <c r="C233" s="5" t="s">
        <v>98</v>
      </c>
      <c r="D233" s="2" t="str">
        <f>IFERROR(VLOOKUP(C233,'ATP - Keywords'!$B:$B,1,FALSE),"#N/A")</f>
        <v>Unbranded DLBCL Treatment</v>
      </c>
      <c r="E233" s="5" t="s">
        <v>237</v>
      </c>
      <c r="F233" s="2" t="str">
        <f>IFERROR(VLOOKUP(E233,'ATP - Keywords'!$C:$C,1,FALSE),"#N/A")</f>
        <v>r/r dlbcl treatment</v>
      </c>
      <c r="G233" s="5" t="s">
        <v>269</v>
      </c>
      <c r="H233" s="5" t="s">
        <v>228</v>
      </c>
      <c r="I233" s="5" t="s">
        <v>101</v>
      </c>
      <c r="J233" s="5" t="str">
        <f>IFERROR(VLOOKUP(I233,'ATP - Keywords'!$E:$E,1,FALSE),"#N/A")</f>
        <v>https://www.columvi.com/about/treatment-goals-for-3l-dlbcl.html</v>
      </c>
      <c r="K233" s="5" t="str">
        <f t="shared" si="3"/>
        <v>https://www.columvi.com/about/treatment-goals-for-3l-dlbcl.html?c=gft-18903220006</v>
      </c>
      <c r="L233" s="5" t="b">
        <v>1</v>
      </c>
      <c r="M233" s="5" t="s">
        <v>3</v>
      </c>
    </row>
    <row r="234" spans="1:13" ht="15.75" customHeight="1" x14ac:dyDescent="0.3">
      <c r="A234" s="5" t="s">
        <v>121</v>
      </c>
      <c r="B234" s="5" t="s">
        <v>123</v>
      </c>
      <c r="C234" s="5" t="s">
        <v>98</v>
      </c>
      <c r="D234" s="2" t="str">
        <f>IFERROR(VLOOKUP(C234,'ATP - Keywords'!$B:$B,1,FALSE),"#N/A")</f>
        <v>Unbranded DLBCL Treatment</v>
      </c>
      <c r="E234" s="5" t="s">
        <v>238</v>
      </c>
      <c r="F234" s="2" t="str">
        <f>IFERROR(VLOOKUP(E234,'ATP - Keywords'!$C:$C,1,FALSE),"#N/A")</f>
        <v>relapsed or refractory dlbcl treatment option</v>
      </c>
      <c r="G234" s="5" t="s">
        <v>269</v>
      </c>
      <c r="H234" s="5" t="s">
        <v>228</v>
      </c>
      <c r="I234" s="5" t="s">
        <v>101</v>
      </c>
      <c r="J234" s="5" t="str">
        <f>IFERROR(VLOOKUP(I234,'ATP - Keywords'!$E:$E,1,FALSE),"#N/A")</f>
        <v>https://www.columvi.com/about/treatment-goals-for-3l-dlbcl.html</v>
      </c>
      <c r="K234" s="5" t="str">
        <f t="shared" si="3"/>
        <v>https://www.columvi.com/about/treatment-goals-for-3l-dlbcl.html?c=gft-18903220006</v>
      </c>
      <c r="L234" s="5" t="b">
        <v>1</v>
      </c>
      <c r="M234" s="5" t="s">
        <v>3</v>
      </c>
    </row>
    <row r="235" spans="1:13" ht="15.75" customHeight="1" x14ac:dyDescent="0.3">
      <c r="A235" s="5" t="s">
        <v>121</v>
      </c>
      <c r="B235" s="5" t="s">
        <v>123</v>
      </c>
      <c r="C235" s="5" t="s">
        <v>98</v>
      </c>
      <c r="D235" s="2" t="str">
        <f>IFERROR(VLOOKUP(C235,'ATP - Keywords'!$B:$B,1,FALSE),"#N/A")</f>
        <v>Unbranded DLBCL Treatment</v>
      </c>
      <c r="E235" s="5" t="s">
        <v>239</v>
      </c>
      <c r="F235" s="2" t="str">
        <f>IFERROR(VLOOKUP(E235,'ATP - Keywords'!$C:$C,1,FALSE),"#N/A")</f>
        <v>treatments for relapsed or refractory dlbcl</v>
      </c>
      <c r="G235" s="5" t="s">
        <v>269</v>
      </c>
      <c r="H235" s="5" t="s">
        <v>228</v>
      </c>
      <c r="I235" s="5" t="s">
        <v>101</v>
      </c>
      <c r="J235" s="5" t="str">
        <f>IFERROR(VLOOKUP(I235,'ATP - Keywords'!$E:$E,1,FALSE),"#N/A")</f>
        <v>https://www.columvi.com/about/treatment-goals-for-3l-dlbcl.html</v>
      </c>
      <c r="K235" s="5" t="str">
        <f t="shared" si="3"/>
        <v>https://www.columvi.com/about/treatment-goals-for-3l-dlbcl.html?c=gft-18903220006</v>
      </c>
      <c r="L235" s="5" t="b">
        <v>1</v>
      </c>
      <c r="M235" s="5" t="s">
        <v>3</v>
      </c>
    </row>
    <row r="236" spans="1:13" ht="15.75" customHeight="1" x14ac:dyDescent="0.3">
      <c r="A236" s="5" t="s">
        <v>121</v>
      </c>
      <c r="B236" s="5" t="s">
        <v>123</v>
      </c>
      <c r="C236" s="5" t="s">
        <v>98</v>
      </c>
      <c r="D236" s="2" t="str">
        <f>IFERROR(VLOOKUP(C236,'ATP - Keywords'!$B:$B,1,FALSE),"#N/A")</f>
        <v>Unbranded DLBCL Treatment</v>
      </c>
      <c r="E236" s="5" t="s">
        <v>240</v>
      </c>
      <c r="F236" s="2" t="str">
        <f>IFERROR(VLOOKUP(E236,'ATP - Keywords'!$C:$C,1,FALSE),"#N/A")</f>
        <v>treatment for large b cell lymphoma</v>
      </c>
      <c r="G236" s="5" t="s">
        <v>269</v>
      </c>
      <c r="H236" s="5" t="s">
        <v>228</v>
      </c>
      <c r="I236" s="5" t="s">
        <v>101</v>
      </c>
      <c r="J236" s="5" t="str">
        <f>IFERROR(VLOOKUP(I236,'ATP - Keywords'!$E:$E,1,FALSE),"#N/A")</f>
        <v>https://www.columvi.com/about/treatment-goals-for-3l-dlbcl.html</v>
      </c>
      <c r="K236" s="5" t="str">
        <f t="shared" si="3"/>
        <v>https://www.columvi.com/about/treatment-goals-for-3l-dlbcl.html?c=gft-18903220006</v>
      </c>
      <c r="L236" s="5" t="b">
        <v>1</v>
      </c>
      <c r="M236" s="5" t="s">
        <v>3</v>
      </c>
    </row>
    <row r="237" spans="1:13" ht="15.75" customHeight="1" x14ac:dyDescent="0.3">
      <c r="A237" s="5" t="s">
        <v>121</v>
      </c>
      <c r="B237" s="5" t="s">
        <v>123</v>
      </c>
      <c r="C237" s="5" t="s">
        <v>98</v>
      </c>
      <c r="D237" s="2" t="str">
        <f>IFERROR(VLOOKUP(C237,'ATP - Keywords'!$B:$B,1,FALSE),"#N/A")</f>
        <v>Unbranded DLBCL Treatment</v>
      </c>
      <c r="E237" s="5" t="s">
        <v>241</v>
      </c>
      <c r="F237" s="2" t="str">
        <f>IFERROR(VLOOKUP(E237,'ATP - Keywords'!$C:$C,1,FALSE),"#N/A")</f>
        <v>treatment for b cell lymphoma</v>
      </c>
      <c r="G237" s="5" t="s">
        <v>269</v>
      </c>
      <c r="H237" s="5" t="s">
        <v>228</v>
      </c>
      <c r="I237" s="5" t="s">
        <v>101</v>
      </c>
      <c r="J237" s="5" t="str">
        <f>IFERROR(VLOOKUP(I237,'ATP - Keywords'!$E:$E,1,FALSE),"#N/A")</f>
        <v>https://www.columvi.com/about/treatment-goals-for-3l-dlbcl.html</v>
      </c>
      <c r="K237" s="5" t="str">
        <f t="shared" si="3"/>
        <v>https://www.columvi.com/about/treatment-goals-for-3l-dlbcl.html?c=gft-18903220006</v>
      </c>
      <c r="L237" s="5" t="b">
        <v>1</v>
      </c>
      <c r="M237" s="5" t="s">
        <v>3</v>
      </c>
    </row>
    <row r="238" spans="1:13" ht="15.75" customHeight="1" x14ac:dyDescent="0.3">
      <c r="A238" s="5" t="s">
        <v>121</v>
      </c>
      <c r="B238" s="5" t="s">
        <v>123</v>
      </c>
      <c r="C238" s="5" t="s">
        <v>98</v>
      </c>
      <c r="D238" s="2" t="str">
        <f>IFERROR(VLOOKUP(C238,'ATP - Keywords'!$B:$B,1,FALSE),"#N/A")</f>
        <v>Unbranded DLBCL Treatment</v>
      </c>
      <c r="E238" s="5" t="s">
        <v>242</v>
      </c>
      <c r="F238" s="2" t="str">
        <f>IFERROR(VLOOKUP(E238,'ATP - Keywords'!$C:$C,1,FALSE),"#N/A")</f>
        <v>latest treatment options for diffuse b cell lymphoma</v>
      </c>
      <c r="G238" s="5" t="s">
        <v>269</v>
      </c>
      <c r="H238" s="5" t="s">
        <v>228</v>
      </c>
      <c r="I238" s="5" t="s">
        <v>101</v>
      </c>
      <c r="J238" s="5" t="str">
        <f>IFERROR(VLOOKUP(I238,'ATP - Keywords'!$E:$E,1,FALSE),"#N/A")</f>
        <v>https://www.columvi.com/about/treatment-goals-for-3l-dlbcl.html</v>
      </c>
      <c r="K238" s="5" t="str">
        <f t="shared" si="3"/>
        <v>https://www.columvi.com/about/treatment-goals-for-3l-dlbcl.html?c=gft-18903220006</v>
      </c>
      <c r="L238" s="5" t="b">
        <v>1</v>
      </c>
      <c r="M238" s="5" t="s">
        <v>3</v>
      </c>
    </row>
    <row r="239" spans="1:13" ht="15.75" customHeight="1" x14ac:dyDescent="0.3">
      <c r="A239" s="5" t="s">
        <v>121</v>
      </c>
      <c r="B239" s="5" t="s">
        <v>123</v>
      </c>
      <c r="C239" s="5" t="s">
        <v>98</v>
      </c>
      <c r="D239" s="2" t="str">
        <f>IFERROR(VLOOKUP(C239,'ATP - Keywords'!$B:$B,1,FALSE),"#N/A")</f>
        <v>Unbranded DLBCL Treatment</v>
      </c>
      <c r="E239" s="5" t="s">
        <v>243</v>
      </c>
      <c r="F239" s="2" t="str">
        <f>IFERROR(VLOOKUP(E239,'ATP - Keywords'!$C:$C,1,FALSE),"#N/A")</f>
        <v>treatments in dlbcl</v>
      </c>
      <c r="G239" s="5" t="s">
        <v>269</v>
      </c>
      <c r="H239" s="5" t="s">
        <v>228</v>
      </c>
      <c r="I239" s="5" t="s">
        <v>101</v>
      </c>
      <c r="J239" s="5" t="str">
        <f>IFERROR(VLOOKUP(I239,'ATP - Keywords'!$E:$E,1,FALSE),"#N/A")</f>
        <v>https://www.columvi.com/about/treatment-goals-for-3l-dlbcl.html</v>
      </c>
      <c r="K239" s="5" t="str">
        <f t="shared" si="3"/>
        <v>https://www.columvi.com/about/treatment-goals-for-3l-dlbcl.html?c=gft-18903220006</v>
      </c>
      <c r="L239" s="5" t="b">
        <v>1</v>
      </c>
      <c r="M239" s="5" t="s">
        <v>3</v>
      </c>
    </row>
    <row r="240" spans="1:13" ht="15.75" customHeight="1" x14ac:dyDescent="0.3">
      <c r="A240" s="5" t="s">
        <v>121</v>
      </c>
      <c r="B240" s="5" t="s">
        <v>123</v>
      </c>
      <c r="C240" s="5" t="s">
        <v>98</v>
      </c>
      <c r="D240" s="2" t="str">
        <f>IFERROR(VLOOKUP(C240,'ATP - Keywords'!$B:$B,1,FALSE),"#N/A")</f>
        <v>Unbranded DLBCL Treatment</v>
      </c>
      <c r="E240" s="5" t="s">
        <v>244</v>
      </c>
      <c r="F240" s="2" t="str">
        <f>IFERROR(VLOOKUP(E240,'ATP - Keywords'!$C:$C,1,FALSE),"#N/A")</f>
        <v>dlbcl treatments</v>
      </c>
      <c r="G240" s="5" t="s">
        <v>269</v>
      </c>
      <c r="H240" s="5" t="s">
        <v>228</v>
      </c>
      <c r="I240" s="5" t="s">
        <v>101</v>
      </c>
      <c r="J240" s="5" t="str">
        <f>IFERROR(VLOOKUP(I240,'ATP - Keywords'!$E:$E,1,FALSE),"#N/A")</f>
        <v>https://www.columvi.com/about/treatment-goals-for-3l-dlbcl.html</v>
      </c>
      <c r="K240" s="5" t="str">
        <f t="shared" si="3"/>
        <v>https://www.columvi.com/about/treatment-goals-for-3l-dlbcl.html?c=gft-18903220006</v>
      </c>
      <c r="L240" s="5" t="b">
        <v>1</v>
      </c>
      <c r="M240" s="5" t="s">
        <v>3</v>
      </c>
    </row>
    <row r="241" spans="1:13" ht="15.75" customHeight="1" x14ac:dyDescent="0.3">
      <c r="A241" s="5" t="s">
        <v>121</v>
      </c>
      <c r="B241" s="5" t="s">
        <v>123</v>
      </c>
      <c r="C241" s="5" t="s">
        <v>98</v>
      </c>
      <c r="D241" s="2" t="str">
        <f>IFERROR(VLOOKUP(C241,'ATP - Keywords'!$B:$B,1,FALSE),"#N/A")</f>
        <v>Unbranded DLBCL Treatment</v>
      </c>
      <c r="E241" s="5" t="s">
        <v>245</v>
      </c>
      <c r="F241" s="2" t="str">
        <f>IFERROR(VLOOKUP(E241,'ATP - Keywords'!$C:$C,1,FALSE),"#N/A")</f>
        <v>treatments in diffuse large b cell lymphoma</v>
      </c>
      <c r="G241" s="5" t="s">
        <v>269</v>
      </c>
      <c r="H241" s="5" t="s">
        <v>228</v>
      </c>
      <c r="I241" s="5" t="s">
        <v>101</v>
      </c>
      <c r="J241" s="5" t="str">
        <f>IFERROR(VLOOKUP(I241,'ATP - Keywords'!$E:$E,1,FALSE),"#N/A")</f>
        <v>https://www.columvi.com/about/treatment-goals-for-3l-dlbcl.html</v>
      </c>
      <c r="K241" s="5" t="str">
        <f t="shared" si="3"/>
        <v>https://www.columvi.com/about/treatment-goals-for-3l-dlbcl.html?c=gft-18903220006</v>
      </c>
      <c r="L241" s="5" t="b">
        <v>1</v>
      </c>
      <c r="M241" s="5" t="s">
        <v>3</v>
      </c>
    </row>
    <row r="242" spans="1:13" ht="15.75" customHeight="1" x14ac:dyDescent="0.3">
      <c r="A242" s="5" t="s">
        <v>121</v>
      </c>
      <c r="B242" s="5" t="s">
        <v>123</v>
      </c>
      <c r="C242" s="5" t="s">
        <v>98</v>
      </c>
      <c r="D242" s="2" t="str">
        <f>IFERROR(VLOOKUP(C242,'ATP - Keywords'!$B:$B,1,FALSE),"#N/A")</f>
        <v>Unbranded DLBCL Treatment</v>
      </c>
      <c r="E242" s="5" t="s">
        <v>246</v>
      </c>
      <c r="F242" s="2" t="str">
        <f>IFERROR(VLOOKUP(E242,'ATP - Keywords'!$C:$C,1,FALSE),"#N/A")</f>
        <v>large b cell lymphoma drug</v>
      </c>
      <c r="G242" s="5" t="s">
        <v>269</v>
      </c>
      <c r="H242" s="5" t="s">
        <v>228</v>
      </c>
      <c r="I242" s="5" t="s">
        <v>101</v>
      </c>
      <c r="J242" s="5" t="str">
        <f>IFERROR(VLOOKUP(I242,'ATP - Keywords'!$E:$E,1,FALSE),"#N/A")</f>
        <v>https://www.columvi.com/about/treatment-goals-for-3l-dlbcl.html</v>
      </c>
      <c r="K242" s="5" t="str">
        <f t="shared" si="3"/>
        <v>https://www.columvi.com/about/treatment-goals-for-3l-dlbcl.html?c=gft-18903220006</v>
      </c>
      <c r="L242" s="5" t="b">
        <v>1</v>
      </c>
      <c r="M242" s="5" t="s">
        <v>3</v>
      </c>
    </row>
    <row r="243" spans="1:13" ht="15.75" customHeight="1" x14ac:dyDescent="0.3">
      <c r="A243" s="5" t="s">
        <v>121</v>
      </c>
      <c r="B243" s="5" t="s">
        <v>123</v>
      </c>
      <c r="C243" s="5" t="s">
        <v>98</v>
      </c>
      <c r="D243" s="2" t="str">
        <f>IFERROR(VLOOKUP(C243,'ATP - Keywords'!$B:$B,1,FALSE),"#N/A")</f>
        <v>Unbranded DLBCL Treatment</v>
      </c>
      <c r="E243" s="5" t="s">
        <v>247</v>
      </c>
      <c r="F243" s="2" t="str">
        <f>IFERROR(VLOOKUP(E243,'ATP - Keywords'!$C:$C,1,FALSE),"#N/A")</f>
        <v>relapsed refractory large b cell lymphoma drug</v>
      </c>
      <c r="G243" s="5" t="s">
        <v>269</v>
      </c>
      <c r="H243" s="5" t="s">
        <v>228</v>
      </c>
      <c r="I243" s="5" t="s">
        <v>101</v>
      </c>
      <c r="J243" s="5" t="str">
        <f>IFERROR(VLOOKUP(I243,'ATP - Keywords'!$E:$E,1,FALSE),"#N/A")</f>
        <v>https://www.columvi.com/about/treatment-goals-for-3l-dlbcl.html</v>
      </c>
      <c r="K243" s="5" t="str">
        <f t="shared" si="3"/>
        <v>https://www.columvi.com/about/treatment-goals-for-3l-dlbcl.html?c=gft-18903220006</v>
      </c>
      <c r="L243" s="5" t="b">
        <v>1</v>
      </c>
      <c r="M243" s="5" t="s">
        <v>3</v>
      </c>
    </row>
    <row r="244" spans="1:13" ht="15.75" customHeight="1" x14ac:dyDescent="0.3">
      <c r="A244" s="5" t="s">
        <v>121</v>
      </c>
      <c r="B244" s="5" t="s">
        <v>123</v>
      </c>
      <c r="C244" s="5" t="s">
        <v>98</v>
      </c>
      <c r="D244" s="2" t="str">
        <f>IFERROR(VLOOKUP(C244,'ATP - Keywords'!$B:$B,1,FALSE),"#N/A")</f>
        <v>Unbranded DLBCL Treatment</v>
      </c>
      <c r="E244" s="5" t="s">
        <v>248</v>
      </c>
      <c r="F244" s="2" t="str">
        <f>IFERROR(VLOOKUP(E244,'ATP - Keywords'!$C:$C,1,FALSE),"#N/A")</f>
        <v>non-hodgkin's treatment</v>
      </c>
      <c r="G244" s="5" t="s">
        <v>269</v>
      </c>
      <c r="H244" s="5" t="s">
        <v>228</v>
      </c>
      <c r="I244" s="5" t="s">
        <v>101</v>
      </c>
      <c r="J244" s="5" t="str">
        <f>IFERROR(VLOOKUP(I244,'ATP - Keywords'!$E:$E,1,FALSE),"#N/A")</f>
        <v>https://www.columvi.com/about/treatment-goals-for-3l-dlbcl.html</v>
      </c>
      <c r="K244" s="5" t="str">
        <f t="shared" si="3"/>
        <v>https://www.columvi.com/about/treatment-goals-for-3l-dlbcl.html?c=gft-18903220006</v>
      </c>
      <c r="L244" s="5" t="b">
        <v>1</v>
      </c>
      <c r="M244" s="5" t="s">
        <v>3</v>
      </c>
    </row>
    <row r="245" spans="1:13" ht="15.75" customHeight="1" x14ac:dyDescent="0.3">
      <c r="A245" s="5" t="s">
        <v>121</v>
      </c>
      <c r="B245" s="5" t="s">
        <v>123</v>
      </c>
      <c r="C245" s="5" t="s">
        <v>98</v>
      </c>
      <c r="D245" s="2" t="str">
        <f>IFERROR(VLOOKUP(C245,'ATP - Keywords'!$B:$B,1,FALSE),"#N/A")</f>
        <v>Unbranded DLBCL Treatment</v>
      </c>
      <c r="E245" s="5" t="s">
        <v>249</v>
      </c>
      <c r="F245" s="2" t="str">
        <f>IFERROR(VLOOKUP(E245,'ATP - Keywords'!$C:$C,1,FALSE),"#N/A")</f>
        <v>non-hodgkin's lymphoma treatment</v>
      </c>
      <c r="G245" s="5" t="s">
        <v>269</v>
      </c>
      <c r="H245" s="5" t="s">
        <v>228</v>
      </c>
      <c r="I245" s="5" t="s">
        <v>101</v>
      </c>
      <c r="J245" s="5" t="str">
        <f>IFERROR(VLOOKUP(I245,'ATP - Keywords'!$E:$E,1,FALSE),"#N/A")</f>
        <v>https://www.columvi.com/about/treatment-goals-for-3l-dlbcl.html</v>
      </c>
      <c r="K245" s="5" t="str">
        <f t="shared" si="3"/>
        <v>https://www.columvi.com/about/treatment-goals-for-3l-dlbcl.html?c=gft-18903220006</v>
      </c>
      <c r="L245" s="5" t="b">
        <v>1</v>
      </c>
      <c r="M245" s="5" t="s">
        <v>3</v>
      </c>
    </row>
    <row r="246" spans="1:13" ht="15.75" customHeight="1" x14ac:dyDescent="0.3">
      <c r="A246" s="5" t="s">
        <v>121</v>
      </c>
      <c r="B246" s="5" t="s">
        <v>123</v>
      </c>
      <c r="C246" s="5" t="s">
        <v>98</v>
      </c>
      <c r="D246" s="2" t="str">
        <f>IFERROR(VLOOKUP(C246,'ATP - Keywords'!$B:$B,1,FALSE),"#N/A")</f>
        <v>Unbranded DLBCL Treatment</v>
      </c>
      <c r="E246" s="5" t="s">
        <v>250</v>
      </c>
      <c r="F246" s="2" t="str">
        <f>IFERROR(VLOOKUP(E246,'ATP - Keywords'!$C:$C,1,FALSE),"#N/A")</f>
        <v>treatment for non-hodgkin's disease</v>
      </c>
      <c r="G246" s="5" t="s">
        <v>269</v>
      </c>
      <c r="H246" s="5" t="s">
        <v>228</v>
      </c>
      <c r="I246" s="5" t="s">
        <v>101</v>
      </c>
      <c r="J246" s="5" t="str">
        <f>IFERROR(VLOOKUP(I246,'ATP - Keywords'!$E:$E,1,FALSE),"#N/A")</f>
        <v>https://www.columvi.com/about/treatment-goals-for-3l-dlbcl.html</v>
      </c>
      <c r="K246" s="5" t="str">
        <f t="shared" si="3"/>
        <v>https://www.columvi.com/about/treatment-goals-for-3l-dlbcl.html?c=gft-18903220006</v>
      </c>
      <c r="L246" s="5" t="b">
        <v>1</v>
      </c>
      <c r="M246" s="5" t="s">
        <v>3</v>
      </c>
    </row>
    <row r="247" spans="1:13" ht="15.75" customHeight="1" x14ac:dyDescent="0.3">
      <c r="A247" s="5" t="s">
        <v>121</v>
      </c>
      <c r="B247" s="5" t="s">
        <v>123</v>
      </c>
      <c r="C247" s="5" t="s">
        <v>98</v>
      </c>
      <c r="D247" s="2" t="str">
        <f>IFERROR(VLOOKUP(C247,'ATP - Keywords'!$B:$B,1,FALSE),"#N/A")</f>
        <v>Unbranded DLBCL Treatment</v>
      </c>
      <c r="E247" s="5" t="s">
        <v>251</v>
      </c>
      <c r="F247" s="2" t="str">
        <f>IFERROR(VLOOKUP(E247,'ATP - Keywords'!$C:$C,1,FALSE),"#N/A")</f>
        <v>dlbcl starting treatment</v>
      </c>
      <c r="G247" s="5" t="s">
        <v>269</v>
      </c>
      <c r="H247" s="5" t="s">
        <v>228</v>
      </c>
      <c r="I247" s="5" t="s">
        <v>101</v>
      </c>
      <c r="J247" s="5" t="str">
        <f>IFERROR(VLOOKUP(I247,'ATP - Keywords'!$E:$E,1,FALSE),"#N/A")</f>
        <v>https://www.columvi.com/about/treatment-goals-for-3l-dlbcl.html</v>
      </c>
      <c r="K247" s="5" t="str">
        <f t="shared" si="3"/>
        <v>https://www.columvi.com/about/treatment-goals-for-3l-dlbcl.html?c=gft-18903220006</v>
      </c>
      <c r="L247" s="5" t="b">
        <v>1</v>
      </c>
      <c r="M247" s="5" t="s">
        <v>3</v>
      </c>
    </row>
    <row r="248" spans="1:13" ht="15.75" customHeight="1" x14ac:dyDescent="0.3">
      <c r="A248" s="5" t="s">
        <v>121</v>
      </c>
      <c r="B248" s="5" t="s">
        <v>124</v>
      </c>
      <c r="C248" s="5" t="s">
        <v>103</v>
      </c>
      <c r="D248" s="2" t="str">
        <f>IFERROR(VLOOKUP(C248,'ATP - Keywords'!$B:$B,1,FALSE),"#N/A")</f>
        <v>Unbranded DLBCL Medication</v>
      </c>
      <c r="E248" s="5" t="s">
        <v>252</v>
      </c>
      <c r="F248" s="2" t="str">
        <f>IFERROR(VLOOKUP(E248,'ATP - Keywords'!$C:$C,1,FALSE),"#N/A")</f>
        <v>medication for large b cell lymphoma</v>
      </c>
      <c r="G248" s="5" t="s">
        <v>269</v>
      </c>
      <c r="H248" s="5" t="s">
        <v>253</v>
      </c>
      <c r="I248" s="5" t="s">
        <v>107</v>
      </c>
      <c r="J248" s="5" t="str">
        <f>IFERROR(VLOOKUP(I248,'ATP - Keywords'!$E:$E,1,FALSE),"#N/A")</f>
        <v>https://www.columvi.com/starting-columvi/how-columvi-is-given.html</v>
      </c>
      <c r="K248" s="5" t="str">
        <f t="shared" si="3"/>
        <v>https://www.columvi.com/starting-columvi/how-columvi-is-given.html?c=gft-18903220006</v>
      </c>
      <c r="L248" s="5" t="b">
        <v>1</v>
      </c>
      <c r="M248" s="5" t="s">
        <v>3</v>
      </c>
    </row>
    <row r="249" spans="1:13" ht="15.75" customHeight="1" x14ac:dyDescent="0.3">
      <c r="A249" s="5" t="s">
        <v>121</v>
      </c>
      <c r="B249" s="5" t="s">
        <v>124</v>
      </c>
      <c r="C249" s="5" t="s">
        <v>103</v>
      </c>
      <c r="D249" s="2" t="str">
        <f>IFERROR(VLOOKUP(C249,'ATP - Keywords'!$B:$B,1,FALSE),"#N/A")</f>
        <v>Unbranded DLBCL Medication</v>
      </c>
      <c r="E249" s="5" t="s">
        <v>254</v>
      </c>
      <c r="F249" s="2" t="str">
        <f>IFERROR(VLOOKUP(E249,'ATP - Keywords'!$C:$C,1,FALSE),"#N/A")</f>
        <v>medication for dlbcl</v>
      </c>
      <c r="G249" s="5" t="s">
        <v>269</v>
      </c>
      <c r="H249" s="5" t="s">
        <v>253</v>
      </c>
      <c r="I249" s="5" t="s">
        <v>107</v>
      </c>
      <c r="J249" s="5" t="str">
        <f>IFERROR(VLOOKUP(I249,'ATP - Keywords'!$E:$E,1,FALSE),"#N/A")</f>
        <v>https://www.columvi.com/starting-columvi/how-columvi-is-given.html</v>
      </c>
      <c r="K249" s="5" t="str">
        <f t="shared" si="3"/>
        <v>https://www.columvi.com/starting-columvi/how-columvi-is-given.html?c=gft-18903220006</v>
      </c>
      <c r="L249" s="5" t="b">
        <v>1</v>
      </c>
      <c r="M249" s="5" t="s">
        <v>3</v>
      </c>
    </row>
    <row r="250" spans="1:13" ht="15.75" customHeight="1" x14ac:dyDescent="0.3">
      <c r="A250" s="5" t="s">
        <v>121</v>
      </c>
      <c r="B250" s="5" t="s">
        <v>124</v>
      </c>
      <c r="C250" s="5" t="s">
        <v>103</v>
      </c>
      <c r="D250" s="2" t="str">
        <f>IFERROR(VLOOKUP(C250,'ATP - Keywords'!$B:$B,1,FALSE),"#N/A")</f>
        <v>Unbranded DLBCL Medication</v>
      </c>
      <c r="E250" s="5" t="s">
        <v>255</v>
      </c>
      <c r="F250" s="2" t="str">
        <f>IFERROR(VLOOKUP(E250,'ATP - Keywords'!$C:$C,1,FALSE),"#N/A")</f>
        <v>dlbcl medication</v>
      </c>
      <c r="G250" s="5" t="s">
        <v>269</v>
      </c>
      <c r="H250" s="5" t="s">
        <v>253</v>
      </c>
      <c r="I250" s="5" t="s">
        <v>107</v>
      </c>
      <c r="J250" s="5" t="str">
        <f>IFERROR(VLOOKUP(I250,'ATP - Keywords'!$E:$E,1,FALSE),"#N/A")</f>
        <v>https://www.columvi.com/starting-columvi/how-columvi-is-given.html</v>
      </c>
      <c r="K250" s="5" t="str">
        <f t="shared" si="3"/>
        <v>https://www.columvi.com/starting-columvi/how-columvi-is-given.html?c=gft-18903220006</v>
      </c>
      <c r="L250" s="5" t="b">
        <v>1</v>
      </c>
      <c r="M250" s="5" t="s">
        <v>3</v>
      </c>
    </row>
    <row r="251" spans="1:13" ht="15.75" customHeight="1" x14ac:dyDescent="0.3">
      <c r="A251" s="5" t="s">
        <v>121</v>
      </c>
      <c r="B251" s="5" t="s">
        <v>124</v>
      </c>
      <c r="C251" s="5" t="s">
        <v>103</v>
      </c>
      <c r="D251" s="2" t="str">
        <f>IFERROR(VLOOKUP(C251,'ATP - Keywords'!$B:$B,1,FALSE),"#N/A")</f>
        <v>Unbranded DLBCL Medication</v>
      </c>
      <c r="E251" s="5" t="s">
        <v>256</v>
      </c>
      <c r="F251" s="2" t="str">
        <f>IFERROR(VLOOKUP(E251,'ATP - Keywords'!$C:$C,1,FALSE),"#N/A")</f>
        <v>diffuse large b cell lymphoma medication</v>
      </c>
      <c r="G251" s="5" t="s">
        <v>269</v>
      </c>
      <c r="H251" s="5" t="s">
        <v>253</v>
      </c>
      <c r="I251" s="5" t="s">
        <v>107</v>
      </c>
      <c r="J251" s="5" t="str">
        <f>IFERROR(VLOOKUP(I251,'ATP - Keywords'!$E:$E,1,FALSE),"#N/A")</f>
        <v>https://www.columvi.com/starting-columvi/how-columvi-is-given.html</v>
      </c>
      <c r="K251" s="5" t="str">
        <f t="shared" si="3"/>
        <v>https://www.columvi.com/starting-columvi/how-columvi-is-given.html?c=gft-18903220006</v>
      </c>
      <c r="L251" s="5" t="b">
        <v>1</v>
      </c>
      <c r="M251" s="5" t="s">
        <v>3</v>
      </c>
    </row>
    <row r="252" spans="1:13" ht="15.75" customHeight="1" x14ac:dyDescent="0.3">
      <c r="A252" s="5" t="s">
        <v>121</v>
      </c>
      <c r="B252" s="5" t="s">
        <v>124</v>
      </c>
      <c r="C252" s="5" t="s">
        <v>103</v>
      </c>
      <c r="D252" s="2" t="str">
        <f>IFERROR(VLOOKUP(C252,'ATP - Keywords'!$B:$B,1,FALSE),"#N/A")</f>
        <v>Unbranded DLBCL Medication</v>
      </c>
      <c r="E252" s="5" t="s">
        <v>257</v>
      </c>
      <c r="F252" s="2" t="str">
        <f>IFERROR(VLOOKUP(E252,'ATP - Keywords'!$C:$C,1,FALSE),"#N/A")</f>
        <v>medication options for dlbcl</v>
      </c>
      <c r="G252" s="5" t="s">
        <v>269</v>
      </c>
      <c r="H252" s="5" t="s">
        <v>253</v>
      </c>
      <c r="I252" s="5" t="s">
        <v>107</v>
      </c>
      <c r="J252" s="5" t="str">
        <f>IFERROR(VLOOKUP(I252,'ATP - Keywords'!$E:$E,1,FALSE),"#N/A")</f>
        <v>https://www.columvi.com/starting-columvi/how-columvi-is-given.html</v>
      </c>
      <c r="K252" s="5" t="str">
        <f t="shared" si="3"/>
        <v>https://www.columvi.com/starting-columvi/how-columvi-is-given.html?c=gft-18903220006</v>
      </c>
      <c r="L252" s="5" t="b">
        <v>1</v>
      </c>
      <c r="M252" s="5" t="s">
        <v>3</v>
      </c>
    </row>
    <row r="253" spans="1:13" ht="15.75" customHeight="1" x14ac:dyDescent="0.3">
      <c r="A253" s="5" t="s">
        <v>121</v>
      </c>
      <c r="B253" s="5" t="s">
        <v>124</v>
      </c>
      <c r="C253" s="5" t="s">
        <v>103</v>
      </c>
      <c r="D253" s="2" t="str">
        <f>IFERROR(VLOOKUP(C253,'ATP - Keywords'!$B:$B,1,FALSE),"#N/A")</f>
        <v>Unbranded DLBCL Medication</v>
      </c>
      <c r="E253" s="5" t="s">
        <v>258</v>
      </c>
      <c r="F253" s="2" t="str">
        <f>IFERROR(VLOOKUP(E253,'ATP - Keywords'!$C:$C,1,FALSE),"#N/A")</f>
        <v>relapsed or refractory dlbcl medication</v>
      </c>
      <c r="G253" s="5" t="s">
        <v>269</v>
      </c>
      <c r="H253" s="5" t="s">
        <v>253</v>
      </c>
      <c r="I253" s="5" t="s">
        <v>107</v>
      </c>
      <c r="J253" s="5" t="str">
        <f>IFERROR(VLOOKUP(I253,'ATP - Keywords'!$E:$E,1,FALSE),"#N/A")</f>
        <v>https://www.columvi.com/starting-columvi/how-columvi-is-given.html</v>
      </c>
      <c r="K253" s="5" t="str">
        <f t="shared" si="3"/>
        <v>https://www.columvi.com/starting-columvi/how-columvi-is-given.html?c=gft-18903220006</v>
      </c>
      <c r="L253" s="5" t="b">
        <v>1</v>
      </c>
      <c r="M253" s="5" t="s">
        <v>3</v>
      </c>
    </row>
    <row r="254" spans="1:13" ht="15.75" customHeight="1" x14ac:dyDescent="0.3">
      <c r="A254" s="5" t="s">
        <v>121</v>
      </c>
      <c r="B254" s="5" t="s">
        <v>125</v>
      </c>
      <c r="C254" s="5" t="s">
        <v>109</v>
      </c>
      <c r="D254" s="2" t="str">
        <f>IFERROR(VLOOKUP(C254,'ATP - Keywords'!$B:$B,1,FALSE),"#N/A")</f>
        <v>Unbranded DLBCL Therapy</v>
      </c>
      <c r="E254" s="5" t="s">
        <v>259</v>
      </c>
      <c r="F254" s="2" t="str">
        <f>IFERROR(VLOOKUP(E254,'ATP - Keywords'!$C:$C,1,FALSE),"#N/A")</f>
        <v>therapy for dlbcl</v>
      </c>
      <c r="G254" s="5" t="s">
        <v>269</v>
      </c>
      <c r="H254" s="5" t="s">
        <v>253</v>
      </c>
      <c r="I254" s="5" t="s">
        <v>107</v>
      </c>
      <c r="J254" s="5" t="str">
        <f>IFERROR(VLOOKUP(I254,'ATP - Keywords'!$E:$E,1,FALSE),"#N/A")</f>
        <v>https://www.columvi.com/starting-columvi/how-columvi-is-given.html</v>
      </c>
      <c r="K254" s="5" t="str">
        <f t="shared" si="3"/>
        <v>https://www.columvi.com/starting-columvi/how-columvi-is-given.html?c=gft-18903220006</v>
      </c>
      <c r="L254" s="5" t="b">
        <v>1</v>
      </c>
      <c r="M254" s="5" t="s">
        <v>3</v>
      </c>
    </row>
    <row r="255" spans="1:13" ht="15.75" customHeight="1" x14ac:dyDescent="0.3">
      <c r="A255" s="5" t="s">
        <v>121</v>
      </c>
      <c r="B255" s="5" t="s">
        <v>125</v>
      </c>
      <c r="C255" s="5" t="s">
        <v>109</v>
      </c>
      <c r="D255" s="2" t="str">
        <f>IFERROR(VLOOKUP(C255,'ATP - Keywords'!$B:$B,1,FALSE),"#N/A")</f>
        <v>Unbranded DLBCL Therapy</v>
      </c>
      <c r="E255" s="5" t="s">
        <v>260</v>
      </c>
      <c r="F255" s="2" t="str">
        <f>IFERROR(VLOOKUP(E255,'ATP - Keywords'!$C:$C,1,FALSE),"#N/A")</f>
        <v>therapy for large b cell lymphoma</v>
      </c>
      <c r="G255" s="5" t="s">
        <v>269</v>
      </c>
      <c r="H255" s="5" t="s">
        <v>253</v>
      </c>
      <c r="I255" s="5" t="s">
        <v>107</v>
      </c>
      <c r="J255" s="5" t="str">
        <f>IFERROR(VLOOKUP(I255,'ATP - Keywords'!$E:$E,1,FALSE),"#N/A")</f>
        <v>https://www.columvi.com/starting-columvi/how-columvi-is-given.html</v>
      </c>
      <c r="K255" s="5" t="str">
        <f t="shared" si="3"/>
        <v>https://www.columvi.com/starting-columvi/how-columvi-is-given.html?c=gft-18903220006</v>
      </c>
      <c r="L255" s="5" t="b">
        <v>1</v>
      </c>
      <c r="M255" s="5" t="s">
        <v>3</v>
      </c>
    </row>
    <row r="256" spans="1:13" ht="15.75" customHeight="1" x14ac:dyDescent="0.3">
      <c r="A256" s="5" t="s">
        <v>121</v>
      </c>
      <c r="B256" s="5" t="s">
        <v>125</v>
      </c>
      <c r="C256" s="5" t="s">
        <v>109</v>
      </c>
      <c r="D256" s="2" t="str">
        <f>IFERROR(VLOOKUP(C256,'ATP - Keywords'!$B:$B,1,FALSE),"#N/A")</f>
        <v>Unbranded DLBCL Therapy</v>
      </c>
      <c r="E256" s="5" t="s">
        <v>261</v>
      </c>
      <c r="F256" s="2" t="str">
        <f>IFERROR(VLOOKUP(E256,'ATP - Keywords'!$C:$C,1,FALSE),"#N/A")</f>
        <v>therapy for relapsed refractory large b cell lymphoma</v>
      </c>
      <c r="G256" s="5" t="s">
        <v>269</v>
      </c>
      <c r="H256" s="5" t="s">
        <v>253</v>
      </c>
      <c r="I256" s="5" t="s">
        <v>107</v>
      </c>
      <c r="J256" s="5" t="str">
        <f>IFERROR(VLOOKUP(I256,'ATP - Keywords'!$E:$E,1,FALSE),"#N/A")</f>
        <v>https://www.columvi.com/starting-columvi/how-columvi-is-given.html</v>
      </c>
      <c r="K256" s="5" t="str">
        <f t="shared" si="3"/>
        <v>https://www.columvi.com/starting-columvi/how-columvi-is-given.html?c=gft-18903220006</v>
      </c>
      <c r="L256" s="5" t="b">
        <v>1</v>
      </c>
      <c r="M256" s="5" t="s">
        <v>3</v>
      </c>
    </row>
    <row r="257" spans="1:13" ht="15.75" customHeight="1" x14ac:dyDescent="0.3">
      <c r="A257" s="5" t="s">
        <v>121</v>
      </c>
      <c r="B257" s="5" t="s">
        <v>125</v>
      </c>
      <c r="C257" s="5" t="s">
        <v>109</v>
      </c>
      <c r="D257" s="2" t="str">
        <f>IFERROR(VLOOKUP(C257,'ATP - Keywords'!$B:$B,1,FALSE),"#N/A")</f>
        <v>Unbranded DLBCL Therapy</v>
      </c>
      <c r="E257" s="5" t="s">
        <v>262</v>
      </c>
      <c r="F257" s="2" t="str">
        <f>IFERROR(VLOOKUP(E257,'ATP - Keywords'!$C:$C,1,FALSE),"#N/A")</f>
        <v>latest therapies for dlbcl</v>
      </c>
      <c r="G257" s="5" t="s">
        <v>269</v>
      </c>
      <c r="H257" s="5" t="s">
        <v>253</v>
      </c>
      <c r="I257" s="5" t="s">
        <v>107</v>
      </c>
      <c r="J257" s="5" t="str">
        <f>IFERROR(VLOOKUP(I257,'ATP - Keywords'!$E:$E,1,FALSE),"#N/A")</f>
        <v>https://www.columvi.com/starting-columvi/how-columvi-is-given.html</v>
      </c>
      <c r="K257" s="5" t="str">
        <f t="shared" si="3"/>
        <v>https://www.columvi.com/starting-columvi/how-columvi-is-given.html?c=gft-18903220006</v>
      </c>
      <c r="L257" s="5" t="b">
        <v>1</v>
      </c>
      <c r="M257" s="5" t="s">
        <v>3</v>
      </c>
    </row>
    <row r="258" spans="1:13" ht="15.75" customHeight="1" x14ac:dyDescent="0.3">
      <c r="A258" s="5" t="s">
        <v>121</v>
      </c>
      <c r="B258" s="5" t="s">
        <v>125</v>
      </c>
      <c r="C258" s="5" t="s">
        <v>109</v>
      </c>
      <c r="D258" s="2" t="str">
        <f>IFERROR(VLOOKUP(C258,'ATP - Keywords'!$B:$B,1,FALSE),"#N/A")</f>
        <v>Unbranded DLBCL Therapy</v>
      </c>
      <c r="E258" s="5" t="s">
        <v>263</v>
      </c>
      <c r="F258" s="2" t="str">
        <f>IFERROR(VLOOKUP(E258,'ATP - Keywords'!$C:$C,1,FALSE),"#N/A")</f>
        <v>latest therapy for diffuse large b cell lymphoma</v>
      </c>
      <c r="G258" s="5" t="s">
        <v>269</v>
      </c>
      <c r="H258" s="5" t="s">
        <v>253</v>
      </c>
      <c r="I258" s="5" t="s">
        <v>107</v>
      </c>
      <c r="J258" s="5" t="str">
        <f>IFERROR(VLOOKUP(I258,'ATP - Keywords'!$E:$E,1,FALSE),"#N/A")</f>
        <v>https://www.columvi.com/starting-columvi/how-columvi-is-given.html</v>
      </c>
      <c r="K258" s="5" t="str">
        <f t="shared" ref="K258:K263" si="4">CONCATENATE(J258,"?c=",M258)</f>
        <v>https://www.columvi.com/starting-columvi/how-columvi-is-given.html?c=gft-18903220006</v>
      </c>
      <c r="L258" s="5" t="b">
        <v>1</v>
      </c>
      <c r="M258" s="5" t="s">
        <v>3</v>
      </c>
    </row>
    <row r="259" spans="1:13" ht="15.75" customHeight="1" x14ac:dyDescent="0.3">
      <c r="A259" s="5" t="s">
        <v>121</v>
      </c>
      <c r="B259" s="5" t="s">
        <v>126</v>
      </c>
      <c r="C259" s="5" t="s">
        <v>113</v>
      </c>
      <c r="D259" s="2" t="str">
        <f>IFERROR(VLOOKUP(C259,'ATP - Keywords'!$B:$B,1,FALSE),"#N/A")</f>
        <v>Unbranded DLBCL Dosing</v>
      </c>
      <c r="E259" s="5" t="s">
        <v>264</v>
      </c>
      <c r="F259" s="2" t="str">
        <f>IFERROR(VLOOKUP(E259,'ATP - Keywords'!$C:$C,1,FALSE),"#N/A")</f>
        <v>dlbcl infusion</v>
      </c>
      <c r="G259" s="5" t="s">
        <v>269</v>
      </c>
      <c r="H259" s="5" t="s">
        <v>253</v>
      </c>
      <c r="I259" s="5" t="s">
        <v>107</v>
      </c>
      <c r="J259" s="5" t="str">
        <f>IFERROR(VLOOKUP(I259,'ATP - Keywords'!$E:$E,1,FALSE),"#N/A")</f>
        <v>https://www.columvi.com/starting-columvi/how-columvi-is-given.html</v>
      </c>
      <c r="K259" s="5" t="str">
        <f t="shared" si="4"/>
        <v>https://www.columvi.com/starting-columvi/how-columvi-is-given.html?c=gft-18903220006</v>
      </c>
      <c r="L259" s="5" t="b">
        <v>1</v>
      </c>
      <c r="M259" s="5" t="s">
        <v>3</v>
      </c>
    </row>
    <row r="260" spans="1:13" ht="15.75" customHeight="1" x14ac:dyDescent="0.3">
      <c r="A260" s="5" t="s">
        <v>121</v>
      </c>
      <c r="B260" s="5" t="s">
        <v>126</v>
      </c>
      <c r="C260" s="5" t="s">
        <v>113</v>
      </c>
      <c r="D260" s="2" t="str">
        <f>IFERROR(VLOOKUP(C260,'ATP - Keywords'!$B:$B,1,FALSE),"#N/A")</f>
        <v>Unbranded DLBCL Dosing</v>
      </c>
      <c r="E260" s="5" t="s">
        <v>508</v>
      </c>
      <c r="F260" s="229" t="str">
        <f>IFERROR(VLOOKUP(E260,'ATP - Keywords'!$C:$C,1,FALSE),"#N/A")</f>
        <v>#N/A</v>
      </c>
      <c r="G260" s="5" t="s">
        <v>269</v>
      </c>
      <c r="H260" s="5" t="s">
        <v>253</v>
      </c>
      <c r="I260" s="5" t="s">
        <v>107</v>
      </c>
      <c r="J260" s="5" t="str">
        <f>IFERROR(VLOOKUP(I260,'ATP - Keywords'!$E:$E,1,FALSE),"#N/A")</f>
        <v>https://www.columvi.com/starting-columvi/how-columvi-is-given.html</v>
      </c>
      <c r="K260" s="5" t="str">
        <f t="shared" si="4"/>
        <v>https://www.columvi.com/starting-columvi/how-columvi-is-given.html?c=gft-18903220006</v>
      </c>
      <c r="L260" s="5" t="b">
        <v>1</v>
      </c>
      <c r="M260" s="5" t="s">
        <v>3</v>
      </c>
    </row>
    <row r="261" spans="1:13" ht="15.75" customHeight="1" x14ac:dyDescent="0.3">
      <c r="A261" s="5" t="s">
        <v>121</v>
      </c>
      <c r="B261" s="5" t="s">
        <v>126</v>
      </c>
      <c r="C261" s="5" t="s">
        <v>113</v>
      </c>
      <c r="D261" s="2" t="str">
        <f>IFERROR(VLOOKUP(C261,'ATP - Keywords'!$B:$B,1,FALSE),"#N/A")</f>
        <v>Unbranded DLBCL Dosing</v>
      </c>
      <c r="E261" s="5" t="s">
        <v>266</v>
      </c>
      <c r="F261" s="2" t="str">
        <f>IFERROR(VLOOKUP(E261,'ATP - Keywords'!$C:$C,1,FALSE),"#N/A")</f>
        <v>large b cell lymphoma infusion</v>
      </c>
      <c r="G261" s="5" t="s">
        <v>269</v>
      </c>
      <c r="H261" s="5" t="s">
        <v>253</v>
      </c>
      <c r="I261" s="5" t="s">
        <v>107</v>
      </c>
      <c r="J261" s="5" t="str">
        <f>IFERROR(VLOOKUP(I261,'ATP - Keywords'!$E:$E,1,FALSE),"#N/A")</f>
        <v>https://www.columvi.com/starting-columvi/how-columvi-is-given.html</v>
      </c>
      <c r="K261" s="5" t="str">
        <f t="shared" si="4"/>
        <v>https://www.columvi.com/starting-columvi/how-columvi-is-given.html?c=gft-18903220006</v>
      </c>
      <c r="L261" s="5" t="b">
        <v>1</v>
      </c>
      <c r="M261" s="5" t="s">
        <v>3</v>
      </c>
    </row>
    <row r="262" spans="1:13" ht="15.75" customHeight="1" x14ac:dyDescent="0.3">
      <c r="A262" s="5" t="s">
        <v>121</v>
      </c>
      <c r="B262" s="5" t="s">
        <v>126</v>
      </c>
      <c r="C262" s="5" t="s">
        <v>113</v>
      </c>
      <c r="D262" s="2" t="str">
        <f>IFERROR(VLOOKUP(C262,'ATP - Keywords'!$B:$B,1,FALSE),"#N/A")</f>
        <v>Unbranded DLBCL Dosing</v>
      </c>
      <c r="E262" s="5" t="s">
        <v>267</v>
      </c>
      <c r="F262" s="2" t="str">
        <f>IFERROR(VLOOKUP(E262,'ATP - Keywords'!$C:$C,1,FALSE),"#N/A")</f>
        <v>large b cell dosing information</v>
      </c>
      <c r="G262" s="5" t="s">
        <v>269</v>
      </c>
      <c r="H262" s="5" t="s">
        <v>253</v>
      </c>
      <c r="I262" s="5" t="s">
        <v>107</v>
      </c>
      <c r="J262" s="5" t="str">
        <f>IFERROR(VLOOKUP(I262,'ATP - Keywords'!$E:$E,1,FALSE),"#N/A")</f>
        <v>https://www.columvi.com/starting-columvi/how-columvi-is-given.html</v>
      </c>
      <c r="K262" s="5" t="str">
        <f t="shared" si="4"/>
        <v>https://www.columvi.com/starting-columvi/how-columvi-is-given.html?c=gft-18903220006</v>
      </c>
      <c r="L262" s="5" t="b">
        <v>1</v>
      </c>
      <c r="M262" s="5" t="s">
        <v>3</v>
      </c>
    </row>
    <row r="263" spans="1:13" ht="15.75" customHeight="1" x14ac:dyDescent="0.3">
      <c r="A263" s="5" t="s">
        <v>121</v>
      </c>
      <c r="B263" s="5" t="s">
        <v>126</v>
      </c>
      <c r="C263" s="5" t="s">
        <v>113</v>
      </c>
      <c r="D263" s="2" t="str">
        <f>IFERROR(VLOOKUP(C263,'ATP - Keywords'!$B:$B,1,FALSE),"#N/A")</f>
        <v>Unbranded DLBCL Dosing</v>
      </c>
      <c r="E263" s="5" t="s">
        <v>268</v>
      </c>
      <c r="F263" s="2" t="str">
        <f>IFERROR(VLOOKUP(E263,'ATP - Keywords'!$C:$C,1,FALSE),"#N/A")</f>
        <v>large b cell dosing and administration information</v>
      </c>
      <c r="G263" s="5" t="s">
        <v>269</v>
      </c>
      <c r="H263" s="5" t="s">
        <v>253</v>
      </c>
      <c r="I263" s="5" t="s">
        <v>107</v>
      </c>
      <c r="J263" s="5" t="str">
        <f>IFERROR(VLOOKUP(I263,'ATP - Keywords'!$E:$E,1,FALSE),"#N/A")</f>
        <v>https://www.columvi.com/starting-columvi/how-columvi-is-given.html</v>
      </c>
      <c r="K263" s="5" t="str">
        <f t="shared" si="4"/>
        <v>https://www.columvi.com/starting-columvi/how-columvi-is-given.html?c=gft-18903220006</v>
      </c>
      <c r="L263" s="5" t="b">
        <v>1</v>
      </c>
      <c r="M263" s="5" t="s">
        <v>3</v>
      </c>
    </row>
  </sheetData>
  <autoFilter ref="A1:AG1" xr:uid="{00000000-0001-0000-0200-000000000000}"/>
  <hyperlinks>
    <hyperlink ref="I2" r:id="rId1" xr:uid="{4AF391A8-706E-42F4-A03B-DE94A08B6895}"/>
    <hyperlink ref="H2" r:id="rId2" xr:uid="{ACEB4B05-E9D4-4593-A52E-9C5865C41A65}"/>
  </hyperlink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263"/>
  <sheetViews>
    <sheetView workbookViewId="0">
      <selection activeCell="A8" sqref="A8"/>
    </sheetView>
  </sheetViews>
  <sheetFormatPr defaultColWidth="12.6640625" defaultRowHeight="15" customHeight="1" x14ac:dyDescent="0.3"/>
  <cols>
    <col min="1" max="1" width="116.77734375" customWidth="1"/>
    <col min="2" max="4" width="45.33203125" customWidth="1"/>
    <col min="5" max="6" width="58.6640625" customWidth="1"/>
    <col min="7" max="7" width="21.33203125" customWidth="1"/>
    <col min="8" max="12" width="87.88671875" customWidth="1"/>
    <col min="13" max="13" width="22" customWidth="1"/>
    <col min="14" max="33" width="8.6640625" customWidth="1"/>
  </cols>
  <sheetData>
    <row r="1" spans="1:13" ht="14.4" x14ac:dyDescent="0.3">
      <c r="A1" s="3" t="s">
        <v>7</v>
      </c>
      <c r="B1" s="3" t="s">
        <v>8</v>
      </c>
      <c r="C1" s="222" t="s">
        <v>510</v>
      </c>
      <c r="D1" s="222" t="s">
        <v>511</v>
      </c>
      <c r="E1" s="3" t="s">
        <v>334</v>
      </c>
      <c r="F1" s="222" t="s">
        <v>512</v>
      </c>
      <c r="G1" s="3" t="s">
        <v>128</v>
      </c>
      <c r="H1" s="3" t="s">
        <v>129</v>
      </c>
      <c r="I1" s="222" t="s">
        <v>513</v>
      </c>
      <c r="J1" s="222" t="s">
        <v>514</v>
      </c>
      <c r="K1" s="222" t="s">
        <v>515</v>
      </c>
      <c r="L1" s="222" t="s">
        <v>516</v>
      </c>
      <c r="M1" s="3" t="s">
        <v>1</v>
      </c>
    </row>
    <row r="2" spans="1:13" ht="14.4" x14ac:dyDescent="0.3">
      <c r="A2" s="2" t="s">
        <v>307</v>
      </c>
      <c r="B2" s="2" t="s">
        <v>308</v>
      </c>
      <c r="C2" s="2" t="s">
        <v>46</v>
      </c>
      <c r="D2" s="2" t="str">
        <f>IFERROR(VLOOKUP(C2,'ATP - Keywords'!$B:$B,1,FALSE),"#N/A")</f>
        <v>Unbranded Condition</v>
      </c>
      <c r="E2" s="2" t="s">
        <v>130</v>
      </c>
      <c r="F2" s="2" t="str">
        <f>IFERROR(VLOOKUP(E2,'ATP - Keywords'!$C:$C,1,FALSE),"#N/A")</f>
        <v>about large b cell lymphoma</v>
      </c>
      <c r="G2" s="2" t="s">
        <v>131</v>
      </c>
      <c r="H2" s="2" t="s">
        <v>335</v>
      </c>
      <c r="I2" s="2" t="s">
        <v>69</v>
      </c>
      <c r="J2" s="2" t="str">
        <f>IFERROR(VLOOKUP(I2,'ATP - Keywords'!$E:$E,1,FALSE),"#N/A")</f>
        <v>https://www.columvi.com/about/what-is-DLBCL.html</v>
      </c>
      <c r="K2" s="2" t="str">
        <f t="shared" ref="K2:K65" si="0">CONCATENATE(J2,"?c=",M2)</f>
        <v>https://www.columvi.com/about/what-is-DLBCL.html?c=gft-1890321fc12</v>
      </c>
      <c r="L2" s="2" t="b">
        <v>1</v>
      </c>
      <c r="M2" s="2" t="s">
        <v>5</v>
      </c>
    </row>
    <row r="3" spans="1:13" ht="14.4" x14ac:dyDescent="0.3">
      <c r="A3" s="2" t="s">
        <v>307</v>
      </c>
      <c r="B3" s="2" t="s">
        <v>308</v>
      </c>
      <c r="C3" s="2" t="s">
        <v>46</v>
      </c>
      <c r="D3" s="2" t="str">
        <f>IFERROR(VLOOKUP(C3,'ATP - Keywords'!$B:$B,1,FALSE),"#N/A")</f>
        <v>Unbranded Condition</v>
      </c>
      <c r="E3" s="2" t="s">
        <v>133</v>
      </c>
      <c r="F3" s="2" t="str">
        <f>IFERROR(VLOOKUP(E3,'ATP - Keywords'!$C:$C,1,FALSE),"#N/A")</f>
        <v>about dlbcl</v>
      </c>
      <c r="G3" s="2" t="s">
        <v>131</v>
      </c>
      <c r="H3" s="2" t="s">
        <v>335</v>
      </c>
      <c r="I3" s="2" t="s">
        <v>69</v>
      </c>
      <c r="J3" s="2" t="str">
        <f>IFERROR(VLOOKUP(I3,'ATP - Keywords'!$E:$E,1,FALSE),"#N/A")</f>
        <v>https://www.columvi.com/about/what-is-DLBCL.html</v>
      </c>
      <c r="K3" s="2" t="str">
        <f t="shared" si="0"/>
        <v>https://www.columvi.com/about/what-is-DLBCL.html?c=gft-1890321fc12</v>
      </c>
      <c r="L3" s="2" t="b">
        <v>1</v>
      </c>
      <c r="M3" s="2" t="s">
        <v>5</v>
      </c>
    </row>
    <row r="4" spans="1:13" ht="14.4" x14ac:dyDescent="0.3">
      <c r="A4" s="2" t="s">
        <v>307</v>
      </c>
      <c r="B4" s="2" t="s">
        <v>308</v>
      </c>
      <c r="C4" s="2" t="s">
        <v>46</v>
      </c>
      <c r="D4" s="2" t="str">
        <f>IFERROR(VLOOKUP(C4,'ATP - Keywords'!$B:$B,1,FALSE),"#N/A")</f>
        <v>Unbranded Condition</v>
      </c>
      <c r="E4" s="2" t="s">
        <v>134</v>
      </c>
      <c r="F4" s="2" t="str">
        <f>IFERROR(VLOOKUP(E4,'ATP - Keywords'!$C:$C,1,FALSE),"#N/A")</f>
        <v>large b cell</v>
      </c>
      <c r="G4" s="2" t="s">
        <v>131</v>
      </c>
      <c r="H4" s="2" t="s">
        <v>335</v>
      </c>
      <c r="I4" s="2" t="s">
        <v>69</v>
      </c>
      <c r="J4" s="2" t="str">
        <f>IFERROR(VLOOKUP(I4,'ATP - Keywords'!$E:$E,1,FALSE),"#N/A")</f>
        <v>https://www.columvi.com/about/what-is-DLBCL.html</v>
      </c>
      <c r="K4" s="2" t="str">
        <f t="shared" si="0"/>
        <v>https://www.columvi.com/about/what-is-DLBCL.html?c=gft-1890321fc12</v>
      </c>
      <c r="L4" s="2" t="b">
        <v>1</v>
      </c>
      <c r="M4" s="2" t="s">
        <v>5</v>
      </c>
    </row>
    <row r="5" spans="1:13" ht="14.4" x14ac:dyDescent="0.3">
      <c r="A5" s="2" t="s">
        <v>307</v>
      </c>
      <c r="B5" s="2" t="s">
        <v>308</v>
      </c>
      <c r="C5" s="2" t="s">
        <v>46</v>
      </c>
      <c r="D5" s="2" t="str">
        <f>IFERROR(VLOOKUP(C5,'ATP - Keywords'!$B:$B,1,FALSE),"#N/A")</f>
        <v>Unbranded Condition</v>
      </c>
      <c r="E5" s="2" t="s">
        <v>135</v>
      </c>
      <c r="F5" s="2" t="str">
        <f>IFERROR(VLOOKUP(E5,'ATP - Keywords'!$C:$C,1,FALSE),"#N/A")</f>
        <v>large b lymphoma</v>
      </c>
      <c r="G5" s="2" t="s">
        <v>131</v>
      </c>
      <c r="H5" s="2" t="s">
        <v>335</v>
      </c>
      <c r="I5" s="2" t="s">
        <v>69</v>
      </c>
      <c r="J5" s="2" t="str">
        <f>IFERROR(VLOOKUP(I5,'ATP - Keywords'!$E:$E,1,FALSE),"#N/A")</f>
        <v>https://www.columvi.com/about/what-is-DLBCL.html</v>
      </c>
      <c r="K5" s="2" t="str">
        <f t="shared" si="0"/>
        <v>https://www.columvi.com/about/what-is-DLBCL.html?c=gft-1890321fc12</v>
      </c>
      <c r="L5" s="2" t="b">
        <v>1</v>
      </c>
      <c r="M5" s="2" t="s">
        <v>5</v>
      </c>
    </row>
    <row r="6" spans="1:13" ht="14.4" x14ac:dyDescent="0.3">
      <c r="A6" s="2" t="s">
        <v>307</v>
      </c>
      <c r="B6" s="2" t="s">
        <v>308</v>
      </c>
      <c r="C6" s="2" t="s">
        <v>46</v>
      </c>
      <c r="D6" s="2" t="str">
        <f>IFERROR(VLOOKUP(C6,'ATP - Keywords'!$B:$B,1,FALSE),"#N/A")</f>
        <v>Unbranded Condition</v>
      </c>
      <c r="E6" s="2" t="s">
        <v>136</v>
      </c>
      <c r="F6" s="2" t="str">
        <f>IFERROR(VLOOKUP(E6,'ATP - Keywords'!$C:$C,1,FALSE),"#N/A")</f>
        <v>large cell b lymphoma</v>
      </c>
      <c r="G6" s="2" t="s">
        <v>131</v>
      </c>
      <c r="H6" s="2" t="s">
        <v>335</v>
      </c>
      <c r="I6" s="2" t="s">
        <v>69</v>
      </c>
      <c r="J6" s="2" t="str">
        <f>IFERROR(VLOOKUP(I6,'ATP - Keywords'!$E:$E,1,FALSE),"#N/A")</f>
        <v>https://www.columvi.com/about/what-is-DLBCL.html</v>
      </c>
      <c r="K6" s="2" t="str">
        <f t="shared" si="0"/>
        <v>https://www.columvi.com/about/what-is-DLBCL.html?c=gft-1890321fc12</v>
      </c>
      <c r="L6" s="2" t="b">
        <v>1</v>
      </c>
      <c r="M6" s="2" t="s">
        <v>5</v>
      </c>
    </row>
    <row r="7" spans="1:13" ht="14.4" x14ac:dyDescent="0.3">
      <c r="A7" s="2" t="s">
        <v>307</v>
      </c>
      <c r="B7" s="2" t="s">
        <v>308</v>
      </c>
      <c r="C7" s="2" t="s">
        <v>46</v>
      </c>
      <c r="D7" s="2" t="str">
        <f>IFERROR(VLOOKUP(C7,'ATP - Keywords'!$B:$B,1,FALSE),"#N/A")</f>
        <v>Unbranded Condition</v>
      </c>
      <c r="E7" s="2" t="s">
        <v>137</v>
      </c>
      <c r="F7" s="2" t="str">
        <f>IFERROR(VLOOKUP(E7,'ATP - Keywords'!$C:$C,1,FALSE),"#N/A")</f>
        <v>dlbcl</v>
      </c>
      <c r="G7" s="2" t="s">
        <v>131</v>
      </c>
      <c r="H7" s="2" t="s">
        <v>335</v>
      </c>
      <c r="I7" s="2" t="s">
        <v>69</v>
      </c>
      <c r="J7" s="2" t="str">
        <f>IFERROR(VLOOKUP(I7,'ATP - Keywords'!$E:$E,1,FALSE),"#N/A")</f>
        <v>https://www.columvi.com/about/what-is-DLBCL.html</v>
      </c>
      <c r="K7" s="2" t="str">
        <f t="shared" si="0"/>
        <v>https://www.columvi.com/about/what-is-DLBCL.html?c=gft-1890321fc12</v>
      </c>
      <c r="L7" s="2" t="b">
        <v>1</v>
      </c>
      <c r="M7" s="2" t="s">
        <v>5</v>
      </c>
    </row>
    <row r="8" spans="1:13" ht="14.4" x14ac:dyDescent="0.3">
      <c r="A8" s="2" t="s">
        <v>307</v>
      </c>
      <c r="B8" s="2" t="s">
        <v>308</v>
      </c>
      <c r="C8" s="2" t="s">
        <v>46</v>
      </c>
      <c r="D8" s="2" t="str">
        <f>IFERROR(VLOOKUP(C8,'ATP - Keywords'!$B:$B,1,FALSE),"#N/A")</f>
        <v>Unbranded Condition</v>
      </c>
      <c r="E8" s="2" t="s">
        <v>138</v>
      </c>
      <c r="F8" s="2" t="str">
        <f>IFERROR(VLOOKUP(E8,'ATP - Keywords'!$C:$C,1,FALSE),"#N/A")</f>
        <v>dlbcl cancer</v>
      </c>
      <c r="G8" s="2" t="s">
        <v>131</v>
      </c>
      <c r="H8" s="2" t="s">
        <v>335</v>
      </c>
      <c r="I8" s="2" t="s">
        <v>69</v>
      </c>
      <c r="J8" s="2" t="str">
        <f>IFERROR(VLOOKUP(I8,'ATP - Keywords'!$E:$E,1,FALSE),"#N/A")</f>
        <v>https://www.columvi.com/about/what-is-DLBCL.html</v>
      </c>
      <c r="K8" s="2" t="str">
        <f t="shared" si="0"/>
        <v>https://www.columvi.com/about/what-is-DLBCL.html?c=gft-1890321fc12</v>
      </c>
      <c r="L8" s="2" t="b">
        <v>1</v>
      </c>
      <c r="M8" s="2" t="s">
        <v>5</v>
      </c>
    </row>
    <row r="9" spans="1:13" ht="14.4" x14ac:dyDescent="0.3">
      <c r="A9" s="2" t="s">
        <v>307</v>
      </c>
      <c r="B9" s="2" t="s">
        <v>308</v>
      </c>
      <c r="C9" s="2" t="s">
        <v>46</v>
      </c>
      <c r="D9" s="2" t="str">
        <f>IFERROR(VLOOKUP(C9,'ATP - Keywords'!$B:$B,1,FALSE),"#N/A")</f>
        <v>Unbranded Condition</v>
      </c>
      <c r="E9" s="2" t="s">
        <v>139</v>
      </c>
      <c r="F9" s="2" t="str">
        <f>IFERROR(VLOOKUP(E9,'ATP - Keywords'!$C:$C,1,FALSE),"#N/A")</f>
        <v>dlbcl lymphoma</v>
      </c>
      <c r="G9" s="2" t="s">
        <v>131</v>
      </c>
      <c r="H9" s="2" t="s">
        <v>335</v>
      </c>
      <c r="I9" s="2" t="s">
        <v>69</v>
      </c>
      <c r="J9" s="2" t="str">
        <f>IFERROR(VLOOKUP(I9,'ATP - Keywords'!$E:$E,1,FALSE),"#N/A")</f>
        <v>https://www.columvi.com/about/what-is-DLBCL.html</v>
      </c>
      <c r="K9" s="2" t="str">
        <f t="shared" si="0"/>
        <v>https://www.columvi.com/about/what-is-DLBCL.html?c=gft-1890321fc12</v>
      </c>
      <c r="L9" s="2" t="b">
        <v>1</v>
      </c>
      <c r="M9" s="2" t="s">
        <v>5</v>
      </c>
    </row>
    <row r="10" spans="1:13" ht="14.4" x14ac:dyDescent="0.3">
      <c r="A10" s="2" t="s">
        <v>307</v>
      </c>
      <c r="B10" s="2" t="s">
        <v>308</v>
      </c>
      <c r="C10" s="2" t="s">
        <v>46</v>
      </c>
      <c r="D10" s="2" t="str">
        <f>IFERROR(VLOOKUP(C10,'ATP - Keywords'!$B:$B,1,FALSE),"#N/A")</f>
        <v>Unbranded Condition</v>
      </c>
      <c r="E10" s="2" t="s">
        <v>140</v>
      </c>
      <c r="F10" s="2" t="str">
        <f>IFERROR(VLOOKUP(E10,'ATP - Keywords'!$C:$C,1,FALSE),"#N/A")</f>
        <v>lymphoma b</v>
      </c>
      <c r="G10" s="2" t="s">
        <v>131</v>
      </c>
      <c r="H10" s="2" t="s">
        <v>335</v>
      </c>
      <c r="I10" s="2" t="s">
        <v>69</v>
      </c>
      <c r="J10" s="2" t="str">
        <f>IFERROR(VLOOKUP(I10,'ATP - Keywords'!$E:$E,1,FALSE),"#N/A")</f>
        <v>https://www.columvi.com/about/what-is-DLBCL.html</v>
      </c>
      <c r="K10" s="2" t="str">
        <f t="shared" si="0"/>
        <v>https://www.columvi.com/about/what-is-DLBCL.html?c=</v>
      </c>
      <c r="L10" s="230" t="b">
        <v>0</v>
      </c>
      <c r="M10" s="2"/>
    </row>
    <row r="11" spans="1:13" ht="14.4" x14ac:dyDescent="0.3">
      <c r="A11" s="2" t="s">
        <v>307</v>
      </c>
      <c r="B11" s="2" t="s">
        <v>308</v>
      </c>
      <c r="C11" s="2" t="s">
        <v>46</v>
      </c>
      <c r="D11" s="2" t="str">
        <f>IFERROR(VLOOKUP(C11,'ATP - Keywords'!$B:$B,1,FALSE),"#N/A")</f>
        <v>Unbranded Condition</v>
      </c>
      <c r="E11" s="2" t="s">
        <v>141</v>
      </c>
      <c r="F11" s="2" t="str">
        <f>IFERROR(VLOOKUP(E11,'ATP - Keywords'!$C:$C,1,FALSE),"#N/A")</f>
        <v>type b lymphoma</v>
      </c>
      <c r="G11" s="2" t="s">
        <v>131</v>
      </c>
      <c r="H11" s="2" t="s">
        <v>335</v>
      </c>
      <c r="I11" s="2" t="s">
        <v>69</v>
      </c>
      <c r="J11" s="2" t="str">
        <f>IFERROR(VLOOKUP(I11,'ATP - Keywords'!$E:$E,1,FALSE),"#N/A")</f>
        <v>https://www.columvi.com/about/what-is-DLBCL.html</v>
      </c>
      <c r="K11" s="2" t="str">
        <f t="shared" si="0"/>
        <v>https://www.columvi.com/about/what-is-DLBCL.html?c=</v>
      </c>
      <c r="L11" s="230" t="b">
        <v>0</v>
      </c>
      <c r="M11" s="2"/>
    </row>
    <row r="12" spans="1:13" ht="14.4" x14ac:dyDescent="0.3">
      <c r="A12" s="2" t="s">
        <v>307</v>
      </c>
      <c r="B12" s="2" t="s">
        <v>308</v>
      </c>
      <c r="C12" s="2" t="s">
        <v>46</v>
      </c>
      <c r="D12" s="2" t="str">
        <f>IFERROR(VLOOKUP(C12,'ATP - Keywords'!$B:$B,1,FALSE),"#N/A")</f>
        <v>Unbranded Condition</v>
      </c>
      <c r="E12" s="2" t="s">
        <v>142</v>
      </c>
      <c r="F12" s="2" t="str">
        <f>IFERROR(VLOOKUP(E12,'ATP - Keywords'!$C:$C,1,FALSE),"#N/A")</f>
        <v>what is large b cell lymphoma</v>
      </c>
      <c r="G12" s="2" t="s">
        <v>131</v>
      </c>
      <c r="H12" s="2" t="s">
        <v>335</v>
      </c>
      <c r="I12" s="2" t="s">
        <v>69</v>
      </c>
      <c r="J12" s="2" t="str">
        <f>IFERROR(VLOOKUP(I12,'ATP - Keywords'!$E:$E,1,FALSE),"#N/A")</f>
        <v>https://www.columvi.com/about/what-is-DLBCL.html</v>
      </c>
      <c r="K12" s="2" t="str">
        <f t="shared" si="0"/>
        <v>https://www.columvi.com/about/what-is-DLBCL.html?c=</v>
      </c>
      <c r="L12" s="230" t="b">
        <v>0</v>
      </c>
      <c r="M12" s="2"/>
    </row>
    <row r="13" spans="1:13" ht="14.4" x14ac:dyDescent="0.3">
      <c r="A13" s="2" t="s">
        <v>307</v>
      </c>
      <c r="B13" s="2" t="s">
        <v>308</v>
      </c>
      <c r="C13" s="2" t="s">
        <v>46</v>
      </c>
      <c r="D13" s="2" t="str">
        <f>IFERROR(VLOOKUP(C13,'ATP - Keywords'!$B:$B,1,FALSE),"#N/A")</f>
        <v>Unbranded Condition</v>
      </c>
      <c r="E13" s="2" t="s">
        <v>143</v>
      </c>
      <c r="F13" s="2" t="str">
        <f>IFERROR(VLOOKUP(E13,'ATP - Keywords'!$C:$C,1,FALSE),"#N/A")</f>
        <v>what is dlbcl</v>
      </c>
      <c r="G13" s="2" t="s">
        <v>131</v>
      </c>
      <c r="H13" s="2" t="s">
        <v>335</v>
      </c>
      <c r="I13" s="2" t="s">
        <v>69</v>
      </c>
      <c r="J13" s="2" t="str">
        <f>IFERROR(VLOOKUP(I13,'ATP - Keywords'!$E:$E,1,FALSE),"#N/A")</f>
        <v>https://www.columvi.com/about/what-is-DLBCL.html</v>
      </c>
      <c r="K13" s="2" t="str">
        <f t="shared" si="0"/>
        <v>https://www.columvi.com/about/what-is-DLBCL.html?c=</v>
      </c>
      <c r="L13" s="230" t="b">
        <v>0</v>
      </c>
      <c r="M13" s="2"/>
    </row>
    <row r="14" spans="1:13" ht="14.4" x14ac:dyDescent="0.3">
      <c r="A14" s="2" t="s">
        <v>307</v>
      </c>
      <c r="B14" s="2" t="s">
        <v>308</v>
      </c>
      <c r="C14" s="2" t="s">
        <v>46</v>
      </c>
      <c r="D14" s="2" t="str">
        <f>IFERROR(VLOOKUP(C14,'ATP - Keywords'!$B:$B,1,FALSE),"#N/A")</f>
        <v>Unbranded Condition</v>
      </c>
      <c r="E14" s="2" t="s">
        <v>144</v>
      </c>
      <c r="F14" s="2" t="str">
        <f>IFERROR(VLOOKUP(E14,'ATP - Keywords'!$C:$C,1,FALSE),"#N/A")</f>
        <v>b cell large diffuse</v>
      </c>
      <c r="G14" s="2" t="s">
        <v>131</v>
      </c>
      <c r="H14" s="2" t="s">
        <v>335</v>
      </c>
      <c r="I14" s="2" t="s">
        <v>69</v>
      </c>
      <c r="J14" s="2" t="str">
        <f>IFERROR(VLOOKUP(I14,'ATP - Keywords'!$E:$E,1,FALSE),"#N/A")</f>
        <v>https://www.columvi.com/about/what-is-DLBCL.html</v>
      </c>
      <c r="K14" s="2" t="str">
        <f t="shared" si="0"/>
        <v>https://www.columvi.com/about/what-is-DLBCL.html?c=</v>
      </c>
      <c r="L14" s="230" t="b">
        <v>0</v>
      </c>
      <c r="M14" s="2"/>
    </row>
    <row r="15" spans="1:13" ht="14.4" x14ac:dyDescent="0.3">
      <c r="A15" s="2" t="s">
        <v>307</v>
      </c>
      <c r="B15" s="2" t="s">
        <v>308</v>
      </c>
      <c r="C15" s="2" t="s">
        <v>46</v>
      </c>
      <c r="D15" s="2" t="str">
        <f>IFERROR(VLOOKUP(C15,'ATP - Keywords'!$B:$B,1,FALSE),"#N/A")</f>
        <v>Unbranded Condition</v>
      </c>
      <c r="E15" s="2" t="s">
        <v>145</v>
      </c>
      <c r="F15" s="2" t="str">
        <f>IFERROR(VLOOKUP(E15,'ATP - Keywords'!$C:$C,1,FALSE),"#N/A")</f>
        <v>lymphoma and large b cell</v>
      </c>
      <c r="G15" s="2" t="s">
        <v>131</v>
      </c>
      <c r="H15" s="2" t="s">
        <v>335</v>
      </c>
      <c r="I15" s="2" t="s">
        <v>69</v>
      </c>
      <c r="J15" s="2" t="str">
        <f>IFERROR(VLOOKUP(I15,'ATP - Keywords'!$E:$E,1,FALSE),"#N/A")</f>
        <v>https://www.columvi.com/about/what-is-DLBCL.html</v>
      </c>
      <c r="K15" s="2" t="str">
        <f t="shared" si="0"/>
        <v>https://www.columvi.com/about/what-is-DLBCL.html?c=</v>
      </c>
      <c r="L15" s="230" t="b">
        <v>0</v>
      </c>
      <c r="M15" s="2"/>
    </row>
    <row r="16" spans="1:13" ht="14.4" x14ac:dyDescent="0.3">
      <c r="A16" s="2" t="s">
        <v>307</v>
      </c>
      <c r="B16" s="2" t="s">
        <v>308</v>
      </c>
      <c r="C16" s="2" t="s">
        <v>46</v>
      </c>
      <c r="D16" s="2" t="str">
        <f>IFERROR(VLOOKUP(C16,'ATP - Keywords'!$B:$B,1,FALSE),"#N/A")</f>
        <v>Unbranded Condition</v>
      </c>
      <c r="E16" s="2" t="s">
        <v>146</v>
      </c>
      <c r="F16" s="2" t="str">
        <f>IFERROR(VLOOKUP(E16,'ATP - Keywords'!$C:$C,1,FALSE),"#N/A")</f>
        <v>diffuse large b cell lymphoma</v>
      </c>
      <c r="G16" s="2" t="s">
        <v>131</v>
      </c>
      <c r="H16" s="2" t="s">
        <v>335</v>
      </c>
      <c r="I16" s="2" t="s">
        <v>69</v>
      </c>
      <c r="J16" s="2" t="str">
        <f>IFERROR(VLOOKUP(I16,'ATP - Keywords'!$E:$E,1,FALSE),"#N/A")</f>
        <v>https://www.columvi.com/about/what-is-DLBCL.html</v>
      </c>
      <c r="K16" s="2" t="str">
        <f t="shared" si="0"/>
        <v>https://www.columvi.com/about/what-is-DLBCL.html?c=</v>
      </c>
      <c r="L16" s="230" t="b">
        <v>0</v>
      </c>
      <c r="M16" s="2"/>
    </row>
    <row r="17" spans="1:13" ht="14.4" x14ac:dyDescent="0.3">
      <c r="A17" s="2" t="s">
        <v>307</v>
      </c>
      <c r="B17" s="2" t="s">
        <v>308</v>
      </c>
      <c r="C17" s="2" t="s">
        <v>46</v>
      </c>
      <c r="D17" s="2" t="str">
        <f>IFERROR(VLOOKUP(C17,'ATP - Keywords'!$B:$B,1,FALSE),"#N/A")</f>
        <v>Unbranded Condition</v>
      </c>
      <c r="E17" s="2" t="s">
        <v>147</v>
      </c>
      <c r="F17" s="2" t="str">
        <f>IFERROR(VLOOKUP(E17,'ATP - Keywords'!$C:$C,1,FALSE),"#N/A")</f>
        <v>dlbcl fda approval</v>
      </c>
      <c r="G17" s="2" t="s">
        <v>131</v>
      </c>
      <c r="H17" s="2" t="s">
        <v>335</v>
      </c>
      <c r="I17" s="2" t="s">
        <v>69</v>
      </c>
      <c r="J17" s="2" t="str">
        <f>IFERROR(VLOOKUP(I17,'ATP - Keywords'!$E:$E,1,FALSE),"#N/A")</f>
        <v>https://www.columvi.com/about/what-is-DLBCL.html</v>
      </c>
      <c r="K17" s="2" t="str">
        <f t="shared" si="0"/>
        <v>https://www.columvi.com/about/what-is-DLBCL.html?c=</v>
      </c>
      <c r="L17" s="230" t="b">
        <v>0</v>
      </c>
      <c r="M17" s="2"/>
    </row>
    <row r="18" spans="1:13" ht="14.4" x14ac:dyDescent="0.3">
      <c r="A18" s="2" t="s">
        <v>307</v>
      </c>
      <c r="B18" s="2" t="s">
        <v>308</v>
      </c>
      <c r="C18" s="2" t="s">
        <v>46</v>
      </c>
      <c r="D18" s="2" t="str">
        <f>IFERROR(VLOOKUP(C18,'ATP - Keywords'!$B:$B,1,FALSE),"#N/A")</f>
        <v>Unbranded Condition</v>
      </c>
      <c r="E18" s="2" t="s">
        <v>148</v>
      </c>
      <c r="F18" s="2" t="str">
        <f>IFERROR(VLOOKUP(E18,'ATP - Keywords'!$C:$C,1,FALSE),"#N/A")</f>
        <v>dlbcl treatment fda approval</v>
      </c>
      <c r="G18" s="2" t="s">
        <v>131</v>
      </c>
      <c r="H18" s="2" t="s">
        <v>335</v>
      </c>
      <c r="I18" s="2" t="s">
        <v>69</v>
      </c>
      <c r="J18" s="2" t="str">
        <f>IFERROR(VLOOKUP(I18,'ATP - Keywords'!$E:$E,1,FALSE),"#N/A")</f>
        <v>https://www.columvi.com/about/what-is-DLBCL.html</v>
      </c>
      <c r="K18" s="2" t="str">
        <f t="shared" si="0"/>
        <v>https://www.columvi.com/about/what-is-DLBCL.html?c=</v>
      </c>
      <c r="L18" s="230" t="b">
        <v>0</v>
      </c>
      <c r="M18" s="2"/>
    </row>
    <row r="19" spans="1:13" ht="14.4" x14ac:dyDescent="0.3">
      <c r="A19" s="2" t="s">
        <v>307</v>
      </c>
      <c r="B19" s="2" t="s">
        <v>308</v>
      </c>
      <c r="C19" s="2" t="s">
        <v>46</v>
      </c>
      <c r="D19" s="2" t="str">
        <f>IFERROR(VLOOKUP(C19,'ATP - Keywords'!$B:$B,1,FALSE),"#N/A")</f>
        <v>Unbranded Condition</v>
      </c>
      <c r="E19" s="2" t="s">
        <v>149</v>
      </c>
      <c r="F19" s="2" t="str">
        <f>IFERROR(VLOOKUP(E19,'ATP - Keywords'!$C:$C,1,FALSE),"#N/A")</f>
        <v>r/r dlbcl</v>
      </c>
      <c r="G19" s="2" t="s">
        <v>131</v>
      </c>
      <c r="H19" s="2" t="s">
        <v>335</v>
      </c>
      <c r="I19" s="2" t="s">
        <v>69</v>
      </c>
      <c r="J19" s="2" t="str">
        <f>IFERROR(VLOOKUP(I19,'ATP - Keywords'!$E:$E,1,FALSE),"#N/A")</f>
        <v>https://www.columvi.com/about/what-is-DLBCL.html</v>
      </c>
      <c r="K19" s="2" t="str">
        <f t="shared" si="0"/>
        <v>https://www.columvi.com/about/what-is-DLBCL.html?c=</v>
      </c>
      <c r="L19" s="230" t="b">
        <v>0</v>
      </c>
      <c r="M19" s="2"/>
    </row>
    <row r="20" spans="1:13" ht="14.4" x14ac:dyDescent="0.3">
      <c r="A20" s="2" t="s">
        <v>307</v>
      </c>
      <c r="B20" s="2" t="s">
        <v>308</v>
      </c>
      <c r="C20" s="2" t="s">
        <v>46</v>
      </c>
      <c r="D20" s="2" t="str">
        <f>IFERROR(VLOOKUP(C20,'ATP - Keywords'!$B:$B,1,FALSE),"#N/A")</f>
        <v>Unbranded Condition</v>
      </c>
      <c r="E20" s="2" t="s">
        <v>150</v>
      </c>
      <c r="F20" s="2" t="str">
        <f>IFERROR(VLOOKUP(E20,'ATP - Keywords'!$C:$C,1,FALSE),"#N/A")</f>
        <v>relapsed or refractory dlbcl</v>
      </c>
      <c r="G20" s="2" t="s">
        <v>131</v>
      </c>
      <c r="H20" s="2" t="s">
        <v>335</v>
      </c>
      <c r="I20" s="2" t="s">
        <v>69</v>
      </c>
      <c r="J20" s="2" t="str">
        <f>IFERROR(VLOOKUP(I20,'ATP - Keywords'!$E:$E,1,FALSE),"#N/A")</f>
        <v>https://www.columvi.com/about/what-is-DLBCL.html</v>
      </c>
      <c r="K20" s="2" t="str">
        <f t="shared" si="0"/>
        <v>https://www.columvi.com/about/what-is-DLBCL.html?c=</v>
      </c>
      <c r="L20" s="230" t="b">
        <v>0</v>
      </c>
      <c r="M20" s="2"/>
    </row>
    <row r="21" spans="1:13" ht="15.75" customHeight="1" x14ac:dyDescent="0.3">
      <c r="A21" s="2" t="s">
        <v>307</v>
      </c>
      <c r="B21" s="2" t="s">
        <v>308</v>
      </c>
      <c r="C21" s="2" t="s">
        <v>46</v>
      </c>
      <c r="D21" s="2" t="str">
        <f>IFERROR(VLOOKUP(C21,'ATP - Keywords'!$B:$B,1,FALSE),"#N/A")</f>
        <v>Unbranded Condition</v>
      </c>
      <c r="E21" s="2" t="s">
        <v>151</v>
      </c>
      <c r="F21" s="2" t="str">
        <f>IFERROR(VLOOKUP(E21,'ATP - Keywords'!$C:$C,1,FALSE),"#N/A")</f>
        <v>relapsed or refractory diffuse large b cell lymphoma</v>
      </c>
      <c r="G21" s="2" t="s">
        <v>131</v>
      </c>
      <c r="H21" s="2" t="s">
        <v>335</v>
      </c>
      <c r="I21" s="2" t="s">
        <v>69</v>
      </c>
      <c r="J21" s="2" t="str">
        <f>IFERROR(VLOOKUP(I21,'ATP - Keywords'!$E:$E,1,FALSE),"#N/A")</f>
        <v>https://www.columvi.com/about/what-is-DLBCL.html</v>
      </c>
      <c r="K21" s="2" t="str">
        <f t="shared" si="0"/>
        <v>https://www.columvi.com/about/what-is-DLBCL.html?c=</v>
      </c>
      <c r="L21" s="230" t="b">
        <v>0</v>
      </c>
      <c r="M21" s="2"/>
    </row>
    <row r="22" spans="1:13" ht="15.75" customHeight="1" x14ac:dyDescent="0.3">
      <c r="A22" s="2" t="s">
        <v>307</v>
      </c>
      <c r="B22" s="2" t="s">
        <v>308</v>
      </c>
      <c r="C22" s="2" t="s">
        <v>46</v>
      </c>
      <c r="D22" s="2" t="str">
        <f>IFERROR(VLOOKUP(C22,'ATP - Keywords'!$B:$B,1,FALSE),"#N/A")</f>
        <v>Unbranded Condition</v>
      </c>
      <c r="E22" s="2" t="s">
        <v>152</v>
      </c>
      <c r="F22" s="2" t="str">
        <f>IFERROR(VLOOKUP(E22,'ATP - Keywords'!$C:$C,1,FALSE),"#N/A")</f>
        <v>lbcl</v>
      </c>
      <c r="G22" s="2" t="s">
        <v>131</v>
      </c>
      <c r="H22" s="2" t="s">
        <v>335</v>
      </c>
      <c r="I22" s="2" t="s">
        <v>69</v>
      </c>
      <c r="J22" s="2" t="str">
        <f>IFERROR(VLOOKUP(I22,'ATP - Keywords'!$E:$E,1,FALSE),"#N/A")</f>
        <v>https://www.columvi.com/about/what-is-DLBCL.html</v>
      </c>
      <c r="K22" s="2" t="str">
        <f t="shared" si="0"/>
        <v>https://www.columvi.com/about/what-is-DLBCL.html?c=</v>
      </c>
      <c r="L22" s="230" t="b">
        <v>0</v>
      </c>
      <c r="M22" s="2"/>
    </row>
    <row r="23" spans="1:13" ht="15.75" customHeight="1" x14ac:dyDescent="0.3">
      <c r="A23" s="2" t="s">
        <v>307</v>
      </c>
      <c r="B23" s="2" t="s">
        <v>308</v>
      </c>
      <c r="C23" s="2" t="s">
        <v>46</v>
      </c>
      <c r="D23" s="2" t="str">
        <f>IFERROR(VLOOKUP(C23,'ATP - Keywords'!$B:$B,1,FALSE),"#N/A")</f>
        <v>Unbranded Condition</v>
      </c>
      <c r="E23" s="2" t="s">
        <v>153</v>
      </c>
      <c r="F23" s="2" t="str">
        <f>IFERROR(VLOOKUP(E23,'ATP - Keywords'!$C:$C,1,FALSE),"#N/A")</f>
        <v>what is the difference between relapsed and refractory dlbcl</v>
      </c>
      <c r="G23" s="2" t="s">
        <v>131</v>
      </c>
      <c r="H23" s="2" t="s">
        <v>335</v>
      </c>
      <c r="I23" s="2" t="s">
        <v>69</v>
      </c>
      <c r="J23" s="2" t="str">
        <f>IFERROR(VLOOKUP(I23,'ATP - Keywords'!$E:$E,1,FALSE),"#N/A")</f>
        <v>https://www.columvi.com/about/what-is-DLBCL.html</v>
      </c>
      <c r="K23" s="2" t="str">
        <f t="shared" si="0"/>
        <v>https://www.columvi.com/about/what-is-DLBCL.html?c=</v>
      </c>
      <c r="L23" s="230" t="b">
        <v>0</v>
      </c>
      <c r="M23" s="2"/>
    </row>
    <row r="24" spans="1:13" ht="15.75" customHeight="1" x14ac:dyDescent="0.3">
      <c r="A24" s="2" t="s">
        <v>307</v>
      </c>
      <c r="B24" s="2" t="s">
        <v>308</v>
      </c>
      <c r="C24" s="2" t="s">
        <v>46</v>
      </c>
      <c r="D24" s="2" t="str">
        <f>IFERROR(VLOOKUP(C24,'ATP - Keywords'!$B:$B,1,FALSE),"#N/A")</f>
        <v>Unbranded Condition</v>
      </c>
      <c r="E24" s="2" t="s">
        <v>154</v>
      </c>
      <c r="F24" s="2" t="str">
        <f>IFERROR(VLOOKUP(E24,'ATP - Keywords'!$C:$C,1,FALSE),"#N/A")</f>
        <v>what is relapsed or refractory dlbcl</v>
      </c>
      <c r="G24" s="2" t="s">
        <v>131</v>
      </c>
      <c r="H24" s="2" t="s">
        <v>335</v>
      </c>
      <c r="I24" s="2" t="s">
        <v>69</v>
      </c>
      <c r="J24" s="2" t="str">
        <f>IFERROR(VLOOKUP(I24,'ATP - Keywords'!$E:$E,1,FALSE),"#N/A")</f>
        <v>https://www.columvi.com/about/what-is-DLBCL.html</v>
      </c>
      <c r="K24" s="2" t="str">
        <f t="shared" si="0"/>
        <v>https://www.columvi.com/about/what-is-DLBCL.html?c=gft-1890321fc12</v>
      </c>
      <c r="L24" s="2" t="b">
        <v>1</v>
      </c>
      <c r="M24" s="2" t="s">
        <v>5</v>
      </c>
    </row>
    <row r="25" spans="1:13" ht="15.75" customHeight="1" x14ac:dyDescent="0.3">
      <c r="A25" s="2" t="s">
        <v>307</v>
      </c>
      <c r="B25" s="2" t="s">
        <v>308</v>
      </c>
      <c r="C25" s="2" t="s">
        <v>46</v>
      </c>
      <c r="D25" s="2" t="str">
        <f>IFERROR(VLOOKUP(C25,'ATP - Keywords'!$B:$B,1,FALSE),"#N/A")</f>
        <v>Unbranded Condition</v>
      </c>
      <c r="E25" s="2" t="s">
        <v>155</v>
      </c>
      <c r="F25" s="2" t="str">
        <f>IFERROR(VLOOKUP(E25,'ATP - Keywords'!$C:$C,1,FALSE),"#N/A")</f>
        <v>relapsed refractory large b cell lymphoma</v>
      </c>
      <c r="G25" s="2" t="s">
        <v>131</v>
      </c>
      <c r="H25" s="2" t="s">
        <v>335</v>
      </c>
      <c r="I25" s="2" t="s">
        <v>69</v>
      </c>
      <c r="J25" s="2" t="str">
        <f>IFERROR(VLOOKUP(I25,'ATP - Keywords'!$E:$E,1,FALSE),"#N/A")</f>
        <v>https://www.columvi.com/about/what-is-DLBCL.html</v>
      </c>
      <c r="K25" s="2" t="str">
        <f t="shared" si="0"/>
        <v>https://www.columvi.com/about/what-is-DLBCL.html?c=gft-1890321fc12</v>
      </c>
      <c r="L25" s="2" t="b">
        <v>1</v>
      </c>
      <c r="M25" s="2" t="s">
        <v>5</v>
      </c>
    </row>
    <row r="26" spans="1:13" ht="15.75" customHeight="1" x14ac:dyDescent="0.3">
      <c r="A26" s="2" t="s">
        <v>307</v>
      </c>
      <c r="B26" s="2" t="s">
        <v>308</v>
      </c>
      <c r="C26" s="2" t="s">
        <v>46</v>
      </c>
      <c r="D26" s="2" t="str">
        <f>IFERROR(VLOOKUP(C26,'ATP - Keywords'!$B:$B,1,FALSE),"#N/A")</f>
        <v>Unbranded Condition</v>
      </c>
      <c r="E26" s="2" t="s">
        <v>156</v>
      </c>
      <c r="F26" s="2" t="str">
        <f>IFERROR(VLOOKUP(E26,'ATP - Keywords'!$C:$C,1,FALSE),"#N/A")</f>
        <v>types of relapsed refractory large b cell lymphoma</v>
      </c>
      <c r="G26" s="2" t="s">
        <v>131</v>
      </c>
      <c r="H26" s="2" t="s">
        <v>335</v>
      </c>
      <c r="I26" s="2" t="s">
        <v>69</v>
      </c>
      <c r="J26" s="2" t="str">
        <f>IFERROR(VLOOKUP(I26,'ATP - Keywords'!$E:$E,1,FALSE),"#N/A")</f>
        <v>https://www.columvi.com/about/what-is-DLBCL.html</v>
      </c>
      <c r="K26" s="2" t="str">
        <f t="shared" si="0"/>
        <v>https://www.columvi.com/about/what-is-DLBCL.html?c=gft-1890321fc12</v>
      </c>
      <c r="L26" s="2" t="b">
        <v>1</v>
      </c>
      <c r="M26" s="2" t="s">
        <v>5</v>
      </c>
    </row>
    <row r="27" spans="1:13" ht="15.75" customHeight="1" x14ac:dyDescent="0.3">
      <c r="A27" s="2" t="s">
        <v>307</v>
      </c>
      <c r="B27" s="2" t="s">
        <v>308</v>
      </c>
      <c r="C27" s="2" t="s">
        <v>46</v>
      </c>
      <c r="D27" s="2" t="str">
        <f>IFERROR(VLOOKUP(C27,'ATP - Keywords'!$B:$B,1,FALSE),"#N/A")</f>
        <v>Unbranded Condition</v>
      </c>
      <c r="E27" s="2" t="s">
        <v>157</v>
      </c>
      <c r="F27" s="2" t="str">
        <f>IFERROR(VLOOKUP(E27,'ATP - Keywords'!$C:$C,1,FALSE),"#N/A")</f>
        <v>about relapsed refractory large b cell lymphoma</v>
      </c>
      <c r="G27" s="2" t="s">
        <v>131</v>
      </c>
      <c r="H27" s="2" t="s">
        <v>335</v>
      </c>
      <c r="I27" s="2" t="s">
        <v>69</v>
      </c>
      <c r="J27" s="2" t="str">
        <f>IFERROR(VLOOKUP(I27,'ATP - Keywords'!$E:$E,1,FALSE),"#N/A")</f>
        <v>https://www.columvi.com/about/what-is-DLBCL.html</v>
      </c>
      <c r="K27" s="2" t="str">
        <f t="shared" si="0"/>
        <v>https://www.columvi.com/about/what-is-DLBCL.html?c=gft-1890321fc12</v>
      </c>
      <c r="L27" s="2" t="b">
        <v>1</v>
      </c>
      <c r="M27" s="2" t="s">
        <v>5</v>
      </c>
    </row>
    <row r="28" spans="1:13" ht="15.75" customHeight="1" x14ac:dyDescent="0.3">
      <c r="A28" s="2" t="s">
        <v>307</v>
      </c>
      <c r="B28" s="2" t="s">
        <v>308</v>
      </c>
      <c r="C28" s="2" t="s">
        <v>46</v>
      </c>
      <c r="D28" s="2" t="str">
        <f>IFERROR(VLOOKUP(C28,'ATP - Keywords'!$B:$B,1,FALSE),"#N/A")</f>
        <v>Unbranded Condition</v>
      </c>
      <c r="E28" s="2" t="s">
        <v>158</v>
      </c>
      <c r="F28" s="2" t="str">
        <f>IFERROR(VLOOKUP(E28,'ATP - Keywords'!$C:$C,1,FALSE),"#N/A")</f>
        <v>lbcl arising from follicular lymphoma</v>
      </c>
      <c r="G28" s="2" t="s">
        <v>131</v>
      </c>
      <c r="H28" s="2" t="s">
        <v>335</v>
      </c>
      <c r="I28" s="2" t="s">
        <v>69</v>
      </c>
      <c r="J28" s="2" t="str">
        <f>IFERROR(VLOOKUP(I28,'ATP - Keywords'!$E:$E,1,FALSE),"#N/A")</f>
        <v>https://www.columvi.com/about/what-is-DLBCL.html</v>
      </c>
      <c r="K28" s="2" t="str">
        <f t="shared" si="0"/>
        <v>https://www.columvi.com/about/what-is-DLBCL.html?c=gft-1890321fc12</v>
      </c>
      <c r="L28" s="2" t="b">
        <v>1</v>
      </c>
      <c r="M28" s="2" t="s">
        <v>5</v>
      </c>
    </row>
    <row r="29" spans="1:13" ht="15.75" customHeight="1" x14ac:dyDescent="0.3">
      <c r="A29" s="2" t="s">
        <v>307</v>
      </c>
      <c r="B29" s="2" t="s">
        <v>308</v>
      </c>
      <c r="C29" s="2" t="s">
        <v>46</v>
      </c>
      <c r="D29" s="2" t="str">
        <f>IFERROR(VLOOKUP(C29,'ATP - Keywords'!$B:$B,1,FALSE),"#N/A")</f>
        <v>Unbranded Condition</v>
      </c>
      <c r="E29" s="2" t="s">
        <v>159</v>
      </c>
      <c r="F29" s="2" t="str">
        <f>IFERROR(VLOOKUP(E29,'ATP - Keywords'!$C:$C,1,FALSE),"#N/A")</f>
        <v>non hodgkins relapsed refractory large b cell lymphoma</v>
      </c>
      <c r="G29" s="2" t="s">
        <v>131</v>
      </c>
      <c r="H29" s="2" t="s">
        <v>335</v>
      </c>
      <c r="I29" s="2" t="s">
        <v>69</v>
      </c>
      <c r="J29" s="2" t="str">
        <f>IFERROR(VLOOKUP(I29,'ATP - Keywords'!$E:$E,1,FALSE),"#N/A")</f>
        <v>https://www.columvi.com/about/what-is-DLBCL.html</v>
      </c>
      <c r="K29" s="2" t="str">
        <f t="shared" si="0"/>
        <v>https://www.columvi.com/about/what-is-DLBCL.html?c=gft-1890321fc12</v>
      </c>
      <c r="L29" s="2" t="b">
        <v>1</v>
      </c>
      <c r="M29" s="2" t="s">
        <v>5</v>
      </c>
    </row>
    <row r="30" spans="1:13" ht="15.75" customHeight="1" x14ac:dyDescent="0.3">
      <c r="A30" s="2" t="s">
        <v>307</v>
      </c>
      <c r="B30" s="2" t="s">
        <v>308</v>
      </c>
      <c r="C30" s="2" t="s">
        <v>46</v>
      </c>
      <c r="D30" s="2" t="str">
        <f>IFERROR(VLOOKUP(C30,'ATP - Keywords'!$B:$B,1,FALSE),"#N/A")</f>
        <v>Unbranded Condition</v>
      </c>
      <c r="E30" s="2" t="s">
        <v>160</v>
      </c>
      <c r="F30" s="2" t="str">
        <f>IFERROR(VLOOKUP(E30,'ATP - Keywords'!$C:$C,1,FALSE),"#N/A")</f>
        <v>nhl relapsed refractory large b cell lymphoma</v>
      </c>
      <c r="G30" s="2" t="s">
        <v>131</v>
      </c>
      <c r="H30" s="2" t="s">
        <v>335</v>
      </c>
      <c r="I30" s="2" t="s">
        <v>69</v>
      </c>
      <c r="J30" s="2" t="str">
        <f>IFERROR(VLOOKUP(I30,'ATP - Keywords'!$E:$E,1,FALSE),"#N/A")</f>
        <v>https://www.columvi.com/about/what-is-DLBCL.html</v>
      </c>
      <c r="K30" s="2" t="str">
        <f t="shared" si="0"/>
        <v>https://www.columvi.com/about/what-is-DLBCL.html?c=gft-1890321fc12</v>
      </c>
      <c r="L30" s="2" t="b">
        <v>1</v>
      </c>
      <c r="M30" s="2" t="s">
        <v>5</v>
      </c>
    </row>
    <row r="31" spans="1:13" ht="15.75" customHeight="1" x14ac:dyDescent="0.3">
      <c r="A31" s="2" t="s">
        <v>307</v>
      </c>
      <c r="B31" s="2" t="s">
        <v>308</v>
      </c>
      <c r="C31" s="2" t="s">
        <v>46</v>
      </c>
      <c r="D31" s="2" t="str">
        <f>IFERROR(VLOOKUP(C31,'ATP - Keywords'!$B:$B,1,FALSE),"#N/A")</f>
        <v>Unbranded Condition</v>
      </c>
      <c r="E31" s="2" t="s">
        <v>161</v>
      </c>
      <c r="F31" s="2" t="str">
        <f>IFERROR(VLOOKUP(E31,'ATP - Keywords'!$C:$C,1,FALSE),"#N/A")</f>
        <v>non hodgkins large b cell lymphoma</v>
      </c>
      <c r="G31" s="2" t="s">
        <v>131</v>
      </c>
      <c r="H31" s="2" t="s">
        <v>335</v>
      </c>
      <c r="I31" s="2" t="s">
        <v>69</v>
      </c>
      <c r="J31" s="2" t="str">
        <f>IFERROR(VLOOKUP(I31,'ATP - Keywords'!$E:$E,1,FALSE),"#N/A")</f>
        <v>https://www.columvi.com/about/what-is-DLBCL.html</v>
      </c>
      <c r="K31" s="2" t="str">
        <f t="shared" si="0"/>
        <v>https://www.columvi.com/about/what-is-DLBCL.html?c=gft-1890321fc12</v>
      </c>
      <c r="L31" s="2" t="b">
        <v>1</v>
      </c>
      <c r="M31" s="2" t="s">
        <v>5</v>
      </c>
    </row>
    <row r="32" spans="1:13" ht="15.75" customHeight="1" x14ac:dyDescent="0.3">
      <c r="A32" s="2" t="s">
        <v>307</v>
      </c>
      <c r="B32" s="2" t="s">
        <v>308</v>
      </c>
      <c r="C32" s="2" t="s">
        <v>46</v>
      </c>
      <c r="D32" s="2" t="str">
        <f>IFERROR(VLOOKUP(C32,'ATP - Keywords'!$B:$B,1,FALSE),"#N/A")</f>
        <v>Unbranded Condition</v>
      </c>
      <c r="E32" s="2" t="s">
        <v>162</v>
      </c>
      <c r="F32" s="2" t="str">
        <f>IFERROR(VLOOKUP(E32,'ATP - Keywords'!$C:$C,1,FALSE),"#N/A")</f>
        <v>nhl cancer</v>
      </c>
      <c r="G32" s="2" t="s">
        <v>131</v>
      </c>
      <c r="H32" s="2" t="s">
        <v>335</v>
      </c>
      <c r="I32" s="2" t="s">
        <v>69</v>
      </c>
      <c r="J32" s="2" t="str">
        <f>IFERROR(VLOOKUP(I32,'ATP - Keywords'!$E:$E,1,FALSE),"#N/A")</f>
        <v>https://www.columvi.com/about/what-is-DLBCL.html</v>
      </c>
      <c r="K32" s="2" t="str">
        <f t="shared" si="0"/>
        <v>https://www.columvi.com/about/what-is-DLBCL.html?c=gft-1890321fc12</v>
      </c>
      <c r="L32" s="2" t="b">
        <v>1</v>
      </c>
      <c r="M32" s="2" t="s">
        <v>5</v>
      </c>
    </row>
    <row r="33" spans="1:13" ht="15.75" customHeight="1" x14ac:dyDescent="0.3">
      <c r="A33" s="2" t="s">
        <v>307</v>
      </c>
      <c r="B33" s="2" t="s">
        <v>308</v>
      </c>
      <c r="C33" s="2" t="s">
        <v>46</v>
      </c>
      <c r="D33" s="2" t="str">
        <f>IFERROR(VLOOKUP(C33,'ATP - Keywords'!$B:$B,1,FALSE),"#N/A")</f>
        <v>Unbranded Condition</v>
      </c>
      <c r="E33" s="2" t="s">
        <v>163</v>
      </c>
      <c r="F33" s="2" t="str">
        <f>IFERROR(VLOOKUP(E33,'ATP - Keywords'!$C:$C,1,FALSE),"#N/A")</f>
        <v>large b cell non hodgkin's lymphoma</v>
      </c>
      <c r="G33" s="2" t="s">
        <v>131</v>
      </c>
      <c r="H33" s="2" t="s">
        <v>335</v>
      </c>
      <c r="I33" s="2" t="s">
        <v>69</v>
      </c>
      <c r="J33" s="2" t="str">
        <f>IFERROR(VLOOKUP(I33,'ATP - Keywords'!$E:$E,1,FALSE),"#N/A")</f>
        <v>https://www.columvi.com/about/what-is-DLBCL.html</v>
      </c>
      <c r="K33" s="2" t="str">
        <f t="shared" si="0"/>
        <v>https://www.columvi.com/about/what-is-DLBCL.html?c=gft-1890321fc12</v>
      </c>
      <c r="L33" s="2" t="b">
        <v>1</v>
      </c>
      <c r="M33" s="2" t="s">
        <v>5</v>
      </c>
    </row>
    <row r="34" spans="1:13" ht="15.75" customHeight="1" x14ac:dyDescent="0.3">
      <c r="A34" s="2" t="s">
        <v>307</v>
      </c>
      <c r="B34" s="2" t="s">
        <v>308</v>
      </c>
      <c r="C34" s="2" t="s">
        <v>46</v>
      </c>
      <c r="D34" s="2" t="str">
        <f>IFERROR(VLOOKUP(C34,'ATP - Keywords'!$B:$B,1,FALSE),"#N/A")</f>
        <v>Unbranded Condition</v>
      </c>
      <c r="E34" s="2" t="s">
        <v>164</v>
      </c>
      <c r="F34" s="2" t="str">
        <f>IFERROR(VLOOKUP(E34,'ATP - Keywords'!$C:$C,1,FALSE),"#N/A")</f>
        <v>dlbcl non hodgkin's lymphoma</v>
      </c>
      <c r="G34" s="2" t="s">
        <v>131</v>
      </c>
      <c r="H34" s="2" t="s">
        <v>335</v>
      </c>
      <c r="I34" s="2" t="s">
        <v>69</v>
      </c>
      <c r="J34" s="2" t="str">
        <f>IFERROR(VLOOKUP(I34,'ATP - Keywords'!$E:$E,1,FALSE),"#N/A")</f>
        <v>https://www.columvi.com/about/what-is-DLBCL.html</v>
      </c>
      <c r="K34" s="2" t="str">
        <f t="shared" si="0"/>
        <v>https://www.columvi.com/about/what-is-DLBCL.html?c=gft-1890321fc12</v>
      </c>
      <c r="L34" s="2" t="b">
        <v>1</v>
      </c>
      <c r="M34" s="2" t="s">
        <v>5</v>
      </c>
    </row>
    <row r="35" spans="1:13" ht="15.75" customHeight="1" x14ac:dyDescent="0.3">
      <c r="A35" s="2" t="s">
        <v>307</v>
      </c>
      <c r="B35" s="2" t="s">
        <v>308</v>
      </c>
      <c r="C35" s="2" t="s">
        <v>46</v>
      </c>
      <c r="D35" s="2" t="str">
        <f>IFERROR(VLOOKUP(C35,'ATP - Keywords'!$B:$B,1,FALSE),"#N/A")</f>
        <v>Unbranded Condition</v>
      </c>
      <c r="E35" s="2" t="s">
        <v>165</v>
      </c>
      <c r="F35" s="2" t="str">
        <f>IFERROR(VLOOKUP(E35,'ATP - Keywords'!$C:$C,1,FALSE),"#N/A")</f>
        <v>non hodgkins dlbcl</v>
      </c>
      <c r="G35" s="2" t="s">
        <v>131</v>
      </c>
      <c r="H35" s="2" t="s">
        <v>335</v>
      </c>
      <c r="I35" s="2" t="s">
        <v>69</v>
      </c>
      <c r="J35" s="2" t="str">
        <f>IFERROR(VLOOKUP(I35,'ATP - Keywords'!$E:$E,1,FALSE),"#N/A")</f>
        <v>https://www.columvi.com/about/what-is-DLBCL.html</v>
      </c>
      <c r="K35" s="2" t="str">
        <f t="shared" si="0"/>
        <v>https://www.columvi.com/about/what-is-DLBCL.html?c=gft-1890321fc12</v>
      </c>
      <c r="L35" s="2" t="b">
        <v>1</v>
      </c>
      <c r="M35" s="2" t="s">
        <v>5</v>
      </c>
    </row>
    <row r="36" spans="1:13" ht="15.75" customHeight="1" x14ac:dyDescent="0.3">
      <c r="A36" s="2" t="s">
        <v>307</v>
      </c>
      <c r="B36" s="2" t="s">
        <v>308</v>
      </c>
      <c r="C36" s="2" t="s">
        <v>46</v>
      </c>
      <c r="D36" s="2" t="str">
        <f>IFERROR(VLOOKUP(C36,'ATP - Keywords'!$B:$B,1,FALSE),"#N/A")</f>
        <v>Unbranded Condition</v>
      </c>
      <c r="E36" s="2" t="s">
        <v>166</v>
      </c>
      <c r="F36" s="2" t="str">
        <f>IFERROR(VLOOKUP(E36,'ATP - Keywords'!$C:$C,1,FALSE),"#N/A")</f>
        <v>nhl large b cell lymphoma</v>
      </c>
      <c r="G36" s="2" t="s">
        <v>131</v>
      </c>
      <c r="H36" s="2" t="s">
        <v>335</v>
      </c>
      <c r="I36" s="2" t="s">
        <v>69</v>
      </c>
      <c r="J36" s="2" t="str">
        <f>IFERROR(VLOOKUP(I36,'ATP - Keywords'!$E:$E,1,FALSE),"#N/A")</f>
        <v>https://www.columvi.com/about/what-is-DLBCL.html</v>
      </c>
      <c r="K36" s="2" t="str">
        <f t="shared" si="0"/>
        <v>https://www.columvi.com/about/what-is-DLBCL.html?c=gft-1890321fc12</v>
      </c>
      <c r="L36" s="2" t="b">
        <v>1</v>
      </c>
      <c r="M36" s="2" t="s">
        <v>5</v>
      </c>
    </row>
    <row r="37" spans="1:13" ht="15.75" customHeight="1" x14ac:dyDescent="0.3">
      <c r="A37" s="2" t="s">
        <v>307</v>
      </c>
      <c r="B37" s="2" t="s">
        <v>308</v>
      </c>
      <c r="C37" s="2" t="s">
        <v>46</v>
      </c>
      <c r="D37" s="2" t="str">
        <f>IFERROR(VLOOKUP(C37,'ATP - Keywords'!$B:$B,1,FALSE),"#N/A")</f>
        <v>Unbranded Condition</v>
      </c>
      <c r="E37" s="2" t="s">
        <v>167</v>
      </c>
      <c r="F37" s="2" t="str">
        <f>IFERROR(VLOOKUP(E37,'ATP - Keywords'!$C:$C,1,FALSE),"#N/A")</f>
        <v>nhl dlbcl</v>
      </c>
      <c r="G37" s="2" t="s">
        <v>131</v>
      </c>
      <c r="H37" s="2" t="s">
        <v>335</v>
      </c>
      <c r="I37" s="2" t="s">
        <v>69</v>
      </c>
      <c r="J37" s="2" t="str">
        <f>IFERROR(VLOOKUP(I37,'ATP - Keywords'!$E:$E,1,FALSE),"#N/A")</f>
        <v>https://www.columvi.com/about/what-is-DLBCL.html</v>
      </c>
      <c r="K37" s="2" t="str">
        <f t="shared" si="0"/>
        <v>https://www.columvi.com/about/what-is-DLBCL.html?c=gft-1890321fc12</v>
      </c>
      <c r="L37" s="2" t="b">
        <v>1</v>
      </c>
      <c r="M37" s="2" t="s">
        <v>5</v>
      </c>
    </row>
    <row r="38" spans="1:13" ht="15.75" customHeight="1" x14ac:dyDescent="0.3">
      <c r="A38" s="2" t="s">
        <v>307</v>
      </c>
      <c r="B38" s="2" t="s">
        <v>308</v>
      </c>
      <c r="C38" s="2" t="s">
        <v>46</v>
      </c>
      <c r="D38" s="2" t="str">
        <f>IFERROR(VLOOKUP(C38,'ATP - Keywords'!$B:$B,1,FALSE),"#N/A")</f>
        <v>Unbranded Condition</v>
      </c>
      <c r="E38" s="2" t="s">
        <v>168</v>
      </c>
      <c r="F38" s="2" t="str">
        <f>IFERROR(VLOOKUP(E38,'ATP - Keywords'!$C:$C,1,FALSE),"#N/A")</f>
        <v>nhl lymphoma</v>
      </c>
      <c r="G38" s="2" t="s">
        <v>131</v>
      </c>
      <c r="H38" s="2" t="s">
        <v>335</v>
      </c>
      <c r="I38" s="2" t="s">
        <v>69</v>
      </c>
      <c r="J38" s="2" t="str">
        <f>IFERROR(VLOOKUP(I38,'ATP - Keywords'!$E:$E,1,FALSE),"#N/A")</f>
        <v>https://www.columvi.com/about/what-is-DLBCL.html</v>
      </c>
      <c r="K38" s="2" t="str">
        <f t="shared" si="0"/>
        <v>https://www.columvi.com/about/what-is-DLBCL.html?c=gft-1890321fc12</v>
      </c>
      <c r="L38" s="2" t="b">
        <v>1</v>
      </c>
      <c r="M38" s="2" t="s">
        <v>5</v>
      </c>
    </row>
    <row r="39" spans="1:13" ht="15.75" customHeight="1" x14ac:dyDescent="0.3">
      <c r="A39" s="2" t="s">
        <v>307</v>
      </c>
      <c r="B39" s="2" t="s">
        <v>308</v>
      </c>
      <c r="C39" s="2" t="s">
        <v>46</v>
      </c>
      <c r="D39" s="2" t="str">
        <f>IFERROR(VLOOKUP(C39,'ATP - Keywords'!$B:$B,1,FALSE),"#N/A")</f>
        <v>Unbranded Condition</v>
      </c>
      <c r="E39" s="2" t="s">
        <v>169</v>
      </c>
      <c r="F39" s="2" t="str">
        <f>IFERROR(VLOOKUP(E39,'ATP - Keywords'!$C:$C,1,FALSE),"#N/A")</f>
        <v>non hodgkins lymphoma</v>
      </c>
      <c r="G39" s="2" t="s">
        <v>131</v>
      </c>
      <c r="H39" s="2" t="s">
        <v>335</v>
      </c>
      <c r="I39" s="2" t="s">
        <v>69</v>
      </c>
      <c r="J39" s="2" t="str">
        <f>IFERROR(VLOOKUP(I39,'ATP - Keywords'!$E:$E,1,FALSE),"#N/A")</f>
        <v>https://www.columvi.com/about/what-is-DLBCL.html</v>
      </c>
      <c r="K39" s="2" t="str">
        <f t="shared" si="0"/>
        <v>https://www.columvi.com/about/what-is-DLBCL.html?c=gft-1890321fc12</v>
      </c>
      <c r="L39" s="2" t="b">
        <v>1</v>
      </c>
      <c r="M39" s="2" t="s">
        <v>5</v>
      </c>
    </row>
    <row r="40" spans="1:13" ht="15.75" customHeight="1" x14ac:dyDescent="0.3">
      <c r="A40" s="2" t="s">
        <v>307</v>
      </c>
      <c r="B40" s="2" t="s">
        <v>308</v>
      </c>
      <c r="C40" s="2" t="s">
        <v>46</v>
      </c>
      <c r="D40" s="2" t="str">
        <f>IFERROR(VLOOKUP(C40,'ATP - Keywords'!$B:$B,1,FALSE),"#N/A")</f>
        <v>Unbranded Condition</v>
      </c>
      <c r="E40" s="2" t="s">
        <v>170</v>
      </c>
      <c r="F40" s="2" t="str">
        <f>IFERROR(VLOOKUP(E40,'ATP - Keywords'!$C:$C,1,FALSE),"#N/A")</f>
        <v>non hodgkins b cell lymphoma</v>
      </c>
      <c r="G40" s="2" t="s">
        <v>131</v>
      </c>
      <c r="H40" s="2" t="s">
        <v>335</v>
      </c>
      <c r="I40" s="2" t="s">
        <v>69</v>
      </c>
      <c r="J40" s="2" t="str">
        <f>IFERROR(VLOOKUP(I40,'ATP - Keywords'!$E:$E,1,FALSE),"#N/A")</f>
        <v>https://www.columvi.com/about/what-is-DLBCL.html</v>
      </c>
      <c r="K40" s="2" t="str">
        <f t="shared" si="0"/>
        <v>https://www.columvi.com/about/what-is-DLBCL.html?c=gft-1890321fc12</v>
      </c>
      <c r="L40" s="2" t="b">
        <v>1</v>
      </c>
      <c r="M40" s="2" t="s">
        <v>5</v>
      </c>
    </row>
    <row r="41" spans="1:13" ht="15.75" customHeight="1" x14ac:dyDescent="0.3">
      <c r="A41" s="2" t="s">
        <v>307</v>
      </c>
      <c r="B41" s="2" t="s">
        <v>308</v>
      </c>
      <c r="C41" s="2" t="s">
        <v>46</v>
      </c>
      <c r="D41" s="2" t="str">
        <f>IFERROR(VLOOKUP(C41,'ATP - Keywords'!$B:$B,1,FALSE),"#N/A")</f>
        <v>Unbranded Condition</v>
      </c>
      <c r="E41" s="2" t="s">
        <v>171</v>
      </c>
      <c r="F41" s="2" t="str">
        <f>IFERROR(VLOOKUP(E41,'ATP - Keywords'!$C:$C,1,FALSE),"#N/A")</f>
        <v>non-hodgkin lymphoma</v>
      </c>
      <c r="G41" s="2" t="s">
        <v>131</v>
      </c>
      <c r="H41" s="2" t="s">
        <v>335</v>
      </c>
      <c r="I41" s="2" t="s">
        <v>69</v>
      </c>
      <c r="J41" s="2" t="str">
        <f>IFERROR(VLOOKUP(I41,'ATP - Keywords'!$E:$E,1,FALSE),"#N/A")</f>
        <v>https://www.columvi.com/about/what-is-DLBCL.html</v>
      </c>
      <c r="K41" s="2" t="str">
        <f t="shared" si="0"/>
        <v>https://www.columvi.com/about/what-is-DLBCL.html?c=gft-1890321fc12</v>
      </c>
      <c r="L41" s="2" t="b">
        <v>1</v>
      </c>
      <c r="M41" s="2" t="s">
        <v>5</v>
      </c>
    </row>
    <row r="42" spans="1:13" ht="15.75" customHeight="1" x14ac:dyDescent="0.3">
      <c r="A42" s="2" t="s">
        <v>307</v>
      </c>
      <c r="B42" s="2" t="s">
        <v>310</v>
      </c>
      <c r="C42" s="2" t="s">
        <v>71</v>
      </c>
      <c r="D42" s="2" t="str">
        <f>IFERROR(VLOOKUP(C42,'ATP - Keywords'!$B:$B,1,FALSE),"#N/A")</f>
        <v>Unbranded DLBCL Causes</v>
      </c>
      <c r="E42" s="2" t="s">
        <v>172</v>
      </c>
      <c r="F42" s="2" t="str">
        <f>IFERROR(VLOOKUP(E42,'ATP - Keywords'!$C:$C,1,FALSE),"#N/A")</f>
        <v>dlbcl causes</v>
      </c>
      <c r="G42" s="2" t="s">
        <v>131</v>
      </c>
      <c r="H42" s="2" t="s">
        <v>335</v>
      </c>
      <c r="I42" s="2" t="s">
        <v>69</v>
      </c>
      <c r="J42" s="2" t="str">
        <f>IFERROR(VLOOKUP(I42,'ATP - Keywords'!$E:$E,1,FALSE),"#N/A")</f>
        <v>https://www.columvi.com/about/what-is-DLBCL.html</v>
      </c>
      <c r="K42" s="2" t="str">
        <f t="shared" si="0"/>
        <v>https://www.columvi.com/about/what-is-DLBCL.html?c=gft-1890321fc12</v>
      </c>
      <c r="L42" s="2" t="b">
        <v>1</v>
      </c>
      <c r="M42" s="2" t="s">
        <v>5</v>
      </c>
    </row>
    <row r="43" spans="1:13" ht="15.75" customHeight="1" x14ac:dyDescent="0.3">
      <c r="A43" s="2" t="s">
        <v>307</v>
      </c>
      <c r="B43" s="2" t="s">
        <v>310</v>
      </c>
      <c r="C43" s="2" t="s">
        <v>71</v>
      </c>
      <c r="D43" s="2" t="str">
        <f>IFERROR(VLOOKUP(C43,'ATP - Keywords'!$B:$B,1,FALSE),"#N/A")</f>
        <v>Unbranded DLBCL Causes</v>
      </c>
      <c r="E43" s="2" t="s">
        <v>173</v>
      </c>
      <c r="F43" s="2" t="str">
        <f>IFERROR(VLOOKUP(E43,'ATP - Keywords'!$C:$C,1,FALSE),"#N/A")</f>
        <v>large b cell lymphoma causes</v>
      </c>
      <c r="G43" s="2" t="s">
        <v>131</v>
      </c>
      <c r="H43" s="2" t="s">
        <v>335</v>
      </c>
      <c r="I43" s="2" t="s">
        <v>69</v>
      </c>
      <c r="J43" s="2" t="str">
        <f>IFERROR(VLOOKUP(I43,'ATP - Keywords'!$E:$E,1,FALSE),"#N/A")</f>
        <v>https://www.columvi.com/about/what-is-DLBCL.html</v>
      </c>
      <c r="K43" s="2" t="str">
        <f t="shared" si="0"/>
        <v>https://www.columvi.com/about/what-is-DLBCL.html?c=gft-1890321fc12</v>
      </c>
      <c r="L43" s="2" t="b">
        <v>1</v>
      </c>
      <c r="M43" s="2" t="s">
        <v>5</v>
      </c>
    </row>
    <row r="44" spans="1:13" ht="15.75" customHeight="1" x14ac:dyDescent="0.3">
      <c r="A44" s="2" t="s">
        <v>307</v>
      </c>
      <c r="B44" s="2" t="s">
        <v>310</v>
      </c>
      <c r="C44" s="2" t="s">
        <v>71</v>
      </c>
      <c r="D44" s="2" t="str">
        <f>IFERROR(VLOOKUP(C44,'ATP - Keywords'!$B:$B,1,FALSE),"#N/A")</f>
        <v>Unbranded DLBCL Causes</v>
      </c>
      <c r="E44" s="2" t="s">
        <v>174</v>
      </c>
      <c r="F44" s="2" t="str">
        <f>IFERROR(VLOOKUP(E44,'ATP - Keywords'!$C:$C,1,FALSE),"#N/A")</f>
        <v>what causes dlbcl</v>
      </c>
      <c r="G44" s="2" t="s">
        <v>131</v>
      </c>
      <c r="H44" s="2" t="s">
        <v>335</v>
      </c>
      <c r="I44" s="2" t="s">
        <v>69</v>
      </c>
      <c r="J44" s="2" t="str">
        <f>IFERROR(VLOOKUP(I44,'ATP - Keywords'!$E:$E,1,FALSE),"#N/A")</f>
        <v>https://www.columvi.com/about/what-is-DLBCL.html</v>
      </c>
      <c r="K44" s="2" t="str">
        <f t="shared" si="0"/>
        <v>https://www.columvi.com/about/what-is-DLBCL.html?c=gft-1890321fc12</v>
      </c>
      <c r="L44" s="2" t="b">
        <v>1</v>
      </c>
      <c r="M44" s="2" t="s">
        <v>5</v>
      </c>
    </row>
    <row r="45" spans="1:13" ht="15.75" customHeight="1" x14ac:dyDescent="0.3">
      <c r="A45" s="2" t="s">
        <v>307</v>
      </c>
      <c r="B45" s="2" t="s">
        <v>310</v>
      </c>
      <c r="C45" s="2" t="s">
        <v>71</v>
      </c>
      <c r="D45" s="2" t="str">
        <f>IFERROR(VLOOKUP(C45,'ATP - Keywords'!$B:$B,1,FALSE),"#N/A")</f>
        <v>Unbranded DLBCL Causes</v>
      </c>
      <c r="E45" s="2" t="s">
        <v>175</v>
      </c>
      <c r="F45" s="2" t="str">
        <f>IFERROR(VLOOKUP(E45,'ATP - Keywords'!$C:$C,1,FALSE),"#N/A")</f>
        <v>what causes large b cell lymphoma</v>
      </c>
      <c r="G45" s="2" t="s">
        <v>131</v>
      </c>
      <c r="H45" s="2" t="s">
        <v>335</v>
      </c>
      <c r="I45" s="2" t="s">
        <v>69</v>
      </c>
      <c r="J45" s="2" t="str">
        <f>IFERROR(VLOOKUP(I45,'ATP - Keywords'!$E:$E,1,FALSE),"#N/A")</f>
        <v>https://www.columvi.com/about/what-is-DLBCL.html</v>
      </c>
      <c r="K45" s="2" t="str">
        <f t="shared" si="0"/>
        <v>https://www.columvi.com/about/what-is-DLBCL.html?c=gft-1890321fc12</v>
      </c>
      <c r="L45" s="2" t="b">
        <v>1</v>
      </c>
      <c r="M45" s="2" t="s">
        <v>5</v>
      </c>
    </row>
    <row r="46" spans="1:13" ht="15.75" customHeight="1" x14ac:dyDescent="0.3">
      <c r="A46" s="2" t="s">
        <v>307</v>
      </c>
      <c r="B46" s="2" t="s">
        <v>310</v>
      </c>
      <c r="C46" s="2" t="s">
        <v>71</v>
      </c>
      <c r="D46" s="2" t="str">
        <f>IFERROR(VLOOKUP(C46,'ATP - Keywords'!$B:$B,1,FALSE),"#N/A")</f>
        <v>Unbranded DLBCL Causes</v>
      </c>
      <c r="E46" s="2" t="s">
        <v>176</v>
      </c>
      <c r="F46" s="2" t="str">
        <f>IFERROR(VLOOKUP(E46,'ATP - Keywords'!$C:$C,1,FALSE),"#N/A")</f>
        <v>how do you get dlbcl</v>
      </c>
      <c r="G46" s="2" t="s">
        <v>131</v>
      </c>
      <c r="H46" s="2" t="s">
        <v>335</v>
      </c>
      <c r="I46" s="2" t="s">
        <v>69</v>
      </c>
      <c r="J46" s="2" t="str">
        <f>IFERROR(VLOOKUP(I46,'ATP - Keywords'!$E:$E,1,FALSE),"#N/A")</f>
        <v>https://www.columvi.com/about/what-is-DLBCL.html</v>
      </c>
      <c r="K46" s="2" t="str">
        <f t="shared" si="0"/>
        <v>https://www.columvi.com/about/what-is-DLBCL.html?c=gft-1890321fc12</v>
      </c>
      <c r="L46" s="2" t="b">
        <v>1</v>
      </c>
      <c r="M46" s="2" t="s">
        <v>5</v>
      </c>
    </row>
    <row r="47" spans="1:13" ht="15.75" customHeight="1" x14ac:dyDescent="0.3">
      <c r="A47" s="2" t="s">
        <v>307</v>
      </c>
      <c r="B47" s="2" t="s">
        <v>310</v>
      </c>
      <c r="C47" s="2" t="s">
        <v>71</v>
      </c>
      <c r="D47" s="2" t="str">
        <f>IFERROR(VLOOKUP(C47,'ATP - Keywords'!$B:$B,1,FALSE),"#N/A")</f>
        <v>Unbranded DLBCL Causes</v>
      </c>
      <c r="E47" s="2" t="s">
        <v>177</v>
      </c>
      <c r="F47" s="2" t="str">
        <f>IFERROR(VLOOKUP(E47,'ATP - Keywords'!$C:$C,1,FALSE),"#N/A")</f>
        <v>how do you get large b cell lymphoma</v>
      </c>
      <c r="G47" s="2" t="s">
        <v>131</v>
      </c>
      <c r="H47" s="2" t="s">
        <v>335</v>
      </c>
      <c r="I47" s="2" t="s">
        <v>69</v>
      </c>
      <c r="J47" s="2" t="str">
        <f>IFERROR(VLOOKUP(I47,'ATP - Keywords'!$E:$E,1,FALSE),"#N/A")</f>
        <v>https://www.columvi.com/about/what-is-DLBCL.html</v>
      </c>
      <c r="K47" s="2" t="str">
        <f t="shared" si="0"/>
        <v>https://www.columvi.com/about/what-is-DLBCL.html?c=gft-1890321fc12</v>
      </c>
      <c r="L47" s="2" t="b">
        <v>1</v>
      </c>
      <c r="M47" s="2" t="s">
        <v>5</v>
      </c>
    </row>
    <row r="48" spans="1:13" ht="15.75" customHeight="1" x14ac:dyDescent="0.3">
      <c r="A48" s="2" t="s">
        <v>307</v>
      </c>
      <c r="B48" s="2" t="s">
        <v>310</v>
      </c>
      <c r="C48" s="2" t="s">
        <v>71</v>
      </c>
      <c r="D48" s="2" t="str">
        <f>IFERROR(VLOOKUP(C48,'ATP - Keywords'!$B:$B,1,FALSE),"#N/A")</f>
        <v>Unbranded DLBCL Causes</v>
      </c>
      <c r="E48" s="2" t="s">
        <v>178</v>
      </c>
      <c r="F48" s="2" t="str">
        <f>IFERROR(VLOOKUP(E48,'ATP - Keywords'!$C:$C,1,FALSE),"#N/A")</f>
        <v>who gets large b cell lymphoma</v>
      </c>
      <c r="G48" s="2" t="s">
        <v>131</v>
      </c>
      <c r="H48" s="2" t="s">
        <v>335</v>
      </c>
      <c r="I48" s="2" t="s">
        <v>69</v>
      </c>
      <c r="J48" s="2" t="str">
        <f>IFERROR(VLOOKUP(I48,'ATP - Keywords'!$E:$E,1,FALSE),"#N/A")</f>
        <v>https://www.columvi.com/about/what-is-DLBCL.html</v>
      </c>
      <c r="K48" s="2" t="str">
        <f t="shared" si="0"/>
        <v>https://www.columvi.com/about/what-is-DLBCL.html?c=gft-1890321fc12</v>
      </c>
      <c r="L48" s="2" t="b">
        <v>1</v>
      </c>
      <c r="M48" s="2" t="s">
        <v>5</v>
      </c>
    </row>
    <row r="49" spans="1:13" ht="15.75" customHeight="1" x14ac:dyDescent="0.3">
      <c r="A49" s="2" t="s">
        <v>307</v>
      </c>
      <c r="B49" s="2" t="s">
        <v>310</v>
      </c>
      <c r="C49" s="2" t="s">
        <v>71</v>
      </c>
      <c r="D49" s="2" t="str">
        <f>IFERROR(VLOOKUP(C49,'ATP - Keywords'!$B:$B,1,FALSE),"#N/A")</f>
        <v>Unbranded DLBCL Causes</v>
      </c>
      <c r="E49" s="2" t="s">
        <v>179</v>
      </c>
      <c r="F49" s="2" t="str">
        <f>IFERROR(VLOOKUP(E49,'ATP - Keywords'!$C:$C,1,FALSE),"#N/A")</f>
        <v>what is the cause of diffuse large b cell lymphoma</v>
      </c>
      <c r="G49" s="2" t="s">
        <v>131</v>
      </c>
      <c r="H49" s="2" t="s">
        <v>335</v>
      </c>
      <c r="I49" s="2" t="s">
        <v>69</v>
      </c>
      <c r="J49" s="2" t="str">
        <f>IFERROR(VLOOKUP(I49,'ATP - Keywords'!$E:$E,1,FALSE),"#N/A")</f>
        <v>https://www.columvi.com/about/what-is-DLBCL.html</v>
      </c>
      <c r="K49" s="2" t="str">
        <f t="shared" si="0"/>
        <v>https://www.columvi.com/about/what-is-DLBCL.html?c=gft-1890321fc12</v>
      </c>
      <c r="L49" s="2" t="b">
        <v>1</v>
      </c>
      <c r="M49" s="2" t="s">
        <v>5</v>
      </c>
    </row>
    <row r="50" spans="1:13" ht="15.75" customHeight="1" x14ac:dyDescent="0.3">
      <c r="A50" s="2" t="s">
        <v>307</v>
      </c>
      <c r="B50" s="2" t="s">
        <v>310</v>
      </c>
      <c r="C50" s="2" t="s">
        <v>71</v>
      </c>
      <c r="D50" s="2" t="str">
        <f>IFERROR(VLOOKUP(C50,'ATP - Keywords'!$B:$B,1,FALSE),"#N/A")</f>
        <v>Unbranded DLBCL Causes</v>
      </c>
      <c r="E50" s="2" t="s">
        <v>180</v>
      </c>
      <c r="F50" s="2" t="str">
        <f>IFERROR(VLOOKUP(E50,'ATP - Keywords'!$C:$C,1,FALSE),"#N/A")</f>
        <v>how does dlbcl develop</v>
      </c>
      <c r="G50" s="2" t="s">
        <v>131</v>
      </c>
      <c r="H50" s="2" t="s">
        <v>335</v>
      </c>
      <c r="I50" s="2" t="s">
        <v>69</v>
      </c>
      <c r="J50" s="2" t="str">
        <f>IFERROR(VLOOKUP(I50,'ATP - Keywords'!$E:$E,1,FALSE),"#N/A")</f>
        <v>https://www.columvi.com/about/what-is-DLBCL.html</v>
      </c>
      <c r="K50" s="2" t="str">
        <f t="shared" si="0"/>
        <v>https://www.columvi.com/about/what-is-DLBCL.html?c=gft-1890321fc12</v>
      </c>
      <c r="L50" s="2" t="b">
        <v>1</v>
      </c>
      <c r="M50" s="2" t="s">
        <v>5</v>
      </c>
    </row>
    <row r="51" spans="1:13" ht="15.75" customHeight="1" x14ac:dyDescent="0.3">
      <c r="A51" s="2" t="s">
        <v>307</v>
      </c>
      <c r="B51" s="2" t="s">
        <v>310</v>
      </c>
      <c r="C51" s="2" t="s">
        <v>71</v>
      </c>
      <c r="D51" s="2" t="str">
        <f>IFERROR(VLOOKUP(C51,'ATP - Keywords'!$B:$B,1,FALSE),"#N/A")</f>
        <v>Unbranded DLBCL Causes</v>
      </c>
      <c r="E51" s="2" t="s">
        <v>181</v>
      </c>
      <c r="F51" s="2" t="str">
        <f>IFERROR(VLOOKUP(E51,'ATP - Keywords'!$C:$C,1,FALSE),"#N/A")</f>
        <v>development of dlbcl</v>
      </c>
      <c r="G51" s="2" t="s">
        <v>131</v>
      </c>
      <c r="H51" s="2" t="s">
        <v>335</v>
      </c>
      <c r="I51" s="2" t="s">
        <v>69</v>
      </c>
      <c r="J51" s="2" t="str">
        <f>IFERROR(VLOOKUP(I51,'ATP - Keywords'!$E:$E,1,FALSE),"#N/A")</f>
        <v>https://www.columvi.com/about/what-is-DLBCL.html</v>
      </c>
      <c r="K51" s="2" t="str">
        <f t="shared" si="0"/>
        <v>https://www.columvi.com/about/what-is-DLBCL.html?c=gft-1890321fc12</v>
      </c>
      <c r="L51" s="2" t="b">
        <v>1</v>
      </c>
      <c r="M51" s="2" t="s">
        <v>5</v>
      </c>
    </row>
    <row r="52" spans="1:13" ht="15.75" customHeight="1" x14ac:dyDescent="0.3">
      <c r="A52" s="2" t="s">
        <v>307</v>
      </c>
      <c r="B52" s="2" t="s">
        <v>310</v>
      </c>
      <c r="C52" s="2" t="s">
        <v>71</v>
      </c>
      <c r="D52" s="2" t="str">
        <f>IFERROR(VLOOKUP(C52,'ATP - Keywords'!$B:$B,1,FALSE),"#N/A")</f>
        <v>Unbranded DLBCL Causes</v>
      </c>
      <c r="E52" s="2" t="s">
        <v>182</v>
      </c>
      <c r="F52" s="2" t="str">
        <f>IFERROR(VLOOKUP(E52,'ATP - Keywords'!$C:$C,1,FALSE),"#N/A")</f>
        <v>what causes relapsed or refractory dlbcl</v>
      </c>
      <c r="G52" s="2" t="s">
        <v>131</v>
      </c>
      <c r="H52" s="2" t="s">
        <v>335</v>
      </c>
      <c r="I52" s="2" t="s">
        <v>69</v>
      </c>
      <c r="J52" s="2" t="str">
        <f>IFERROR(VLOOKUP(I52,'ATP - Keywords'!$E:$E,1,FALSE),"#N/A")</f>
        <v>https://www.columvi.com/about/what-is-DLBCL.html</v>
      </c>
      <c r="K52" s="2" t="str">
        <f t="shared" si="0"/>
        <v>https://www.columvi.com/about/what-is-DLBCL.html?c=gft-1890321fc12</v>
      </c>
      <c r="L52" s="2" t="b">
        <v>1</v>
      </c>
      <c r="M52" s="2" t="s">
        <v>5</v>
      </c>
    </row>
    <row r="53" spans="1:13" ht="15.75" customHeight="1" x14ac:dyDescent="0.3">
      <c r="A53" s="2" t="s">
        <v>307</v>
      </c>
      <c r="B53" s="2" t="s">
        <v>310</v>
      </c>
      <c r="C53" s="2" t="s">
        <v>71</v>
      </c>
      <c r="D53" s="2" t="str">
        <f>IFERROR(VLOOKUP(C53,'ATP - Keywords'!$B:$B,1,FALSE),"#N/A")</f>
        <v>Unbranded DLBCL Causes</v>
      </c>
      <c r="E53" s="2" t="s">
        <v>183</v>
      </c>
      <c r="F53" s="2" t="str">
        <f>IFERROR(VLOOKUP(E53,'ATP - Keywords'!$C:$C,1,FALSE),"#N/A")</f>
        <v>causes of r/r dlbcl</v>
      </c>
      <c r="G53" s="2" t="s">
        <v>131</v>
      </c>
      <c r="H53" s="2" t="s">
        <v>335</v>
      </c>
      <c r="I53" s="2" t="s">
        <v>69</v>
      </c>
      <c r="J53" s="2" t="str">
        <f>IFERROR(VLOOKUP(I53,'ATP - Keywords'!$E:$E,1,FALSE),"#N/A")</f>
        <v>https://www.columvi.com/about/what-is-DLBCL.html</v>
      </c>
      <c r="K53" s="2" t="str">
        <f t="shared" si="0"/>
        <v>https://www.columvi.com/about/what-is-DLBCL.html?c=gft-1890321fc12</v>
      </c>
      <c r="L53" s="2" t="b">
        <v>1</v>
      </c>
      <c r="M53" s="2" t="s">
        <v>5</v>
      </c>
    </row>
    <row r="54" spans="1:13" ht="15.75" customHeight="1" x14ac:dyDescent="0.3">
      <c r="A54" s="2" t="s">
        <v>307</v>
      </c>
      <c r="B54" s="2" t="s">
        <v>311</v>
      </c>
      <c r="C54" s="2" t="s">
        <v>76</v>
      </c>
      <c r="D54" s="2" t="str">
        <f>IFERROR(VLOOKUP(C54,'ATP - Keywords'!$B:$B,1,FALSE),"#N/A")</f>
        <v>Unbranded DLBCL Diagnosis</v>
      </c>
      <c r="E54" s="2" t="s">
        <v>184</v>
      </c>
      <c r="F54" s="2" t="str">
        <f>IFERROR(VLOOKUP(E54,'ATP - Keywords'!$C:$C,1,FALSE),"#N/A")</f>
        <v>large b cell lymphoma diagnosis</v>
      </c>
      <c r="G54" s="2" t="s">
        <v>131</v>
      </c>
      <c r="H54" s="2" t="s">
        <v>335</v>
      </c>
      <c r="I54" s="2" t="s">
        <v>69</v>
      </c>
      <c r="J54" s="2" t="str">
        <f>IFERROR(VLOOKUP(I54,'ATP - Keywords'!$E:$E,1,FALSE),"#N/A")</f>
        <v>https://www.columvi.com/about/what-is-DLBCL.html</v>
      </c>
      <c r="K54" s="2" t="str">
        <f t="shared" si="0"/>
        <v>https://www.columvi.com/about/what-is-DLBCL.html?c=gft-1890321fc12</v>
      </c>
      <c r="L54" s="2" t="b">
        <v>1</v>
      </c>
      <c r="M54" s="2" t="s">
        <v>5</v>
      </c>
    </row>
    <row r="55" spans="1:13" ht="15.75" customHeight="1" x14ac:dyDescent="0.3">
      <c r="A55" s="2" t="s">
        <v>307</v>
      </c>
      <c r="B55" s="2" t="s">
        <v>311</v>
      </c>
      <c r="C55" s="2" t="s">
        <v>76</v>
      </c>
      <c r="D55" s="2" t="str">
        <f>IFERROR(VLOOKUP(C55,'ATP - Keywords'!$B:$B,1,FALSE),"#N/A")</f>
        <v>Unbranded DLBCL Diagnosis</v>
      </c>
      <c r="E55" s="2" t="s">
        <v>185</v>
      </c>
      <c r="F55" s="2" t="str">
        <f>IFERROR(VLOOKUP(E55,'ATP - Keywords'!$C:$C,1,FALSE),"#N/A")</f>
        <v>dlbcl diagnosis</v>
      </c>
      <c r="G55" s="2" t="s">
        <v>131</v>
      </c>
      <c r="H55" s="2" t="s">
        <v>335</v>
      </c>
      <c r="I55" s="2" t="s">
        <v>69</v>
      </c>
      <c r="J55" s="2" t="str">
        <f>IFERROR(VLOOKUP(I55,'ATP - Keywords'!$E:$E,1,FALSE),"#N/A")</f>
        <v>https://www.columvi.com/about/what-is-DLBCL.html</v>
      </c>
      <c r="K55" s="2" t="str">
        <f t="shared" si="0"/>
        <v>https://www.columvi.com/about/what-is-DLBCL.html?c=gft-1890321fc12</v>
      </c>
      <c r="L55" s="2" t="b">
        <v>1</v>
      </c>
      <c r="M55" s="2" t="s">
        <v>5</v>
      </c>
    </row>
    <row r="56" spans="1:13" ht="15.75" customHeight="1" x14ac:dyDescent="0.3">
      <c r="A56" s="2" t="s">
        <v>307</v>
      </c>
      <c r="B56" s="2" t="s">
        <v>311</v>
      </c>
      <c r="C56" s="2" t="s">
        <v>76</v>
      </c>
      <c r="D56" s="2" t="str">
        <f>IFERROR(VLOOKUP(C56,'ATP - Keywords'!$B:$B,1,FALSE),"#N/A")</f>
        <v>Unbranded DLBCL Diagnosis</v>
      </c>
      <c r="E56" s="2" t="s">
        <v>186</v>
      </c>
      <c r="F56" s="2" t="str">
        <f>IFERROR(VLOOKUP(E56,'ATP - Keywords'!$C:$C,1,FALSE),"#N/A")</f>
        <v>diagnosed with large b cell lymphoma</v>
      </c>
      <c r="G56" s="2" t="s">
        <v>131</v>
      </c>
      <c r="H56" s="2" t="s">
        <v>335</v>
      </c>
      <c r="I56" s="2" t="s">
        <v>69</v>
      </c>
      <c r="J56" s="2" t="str">
        <f>IFERROR(VLOOKUP(I56,'ATP - Keywords'!$E:$E,1,FALSE),"#N/A")</f>
        <v>https://www.columvi.com/about/what-is-DLBCL.html</v>
      </c>
      <c r="K56" s="2" t="str">
        <f t="shared" si="0"/>
        <v>https://www.columvi.com/about/what-is-DLBCL.html?c=gft-1890321fc12</v>
      </c>
      <c r="L56" s="2" t="b">
        <v>1</v>
      </c>
      <c r="M56" s="2" t="s">
        <v>5</v>
      </c>
    </row>
    <row r="57" spans="1:13" ht="15.75" customHeight="1" x14ac:dyDescent="0.3">
      <c r="A57" s="2" t="s">
        <v>307</v>
      </c>
      <c r="B57" s="2" t="s">
        <v>311</v>
      </c>
      <c r="C57" s="2" t="s">
        <v>76</v>
      </c>
      <c r="D57" s="2" t="str">
        <f>IFERROR(VLOOKUP(C57,'ATP - Keywords'!$B:$B,1,FALSE),"#N/A")</f>
        <v>Unbranded DLBCL Diagnosis</v>
      </c>
      <c r="E57" s="2" t="s">
        <v>187</v>
      </c>
      <c r="F57" s="2" t="str">
        <f>IFERROR(VLOOKUP(E57,'ATP - Keywords'!$C:$C,1,FALSE),"#N/A")</f>
        <v>diagnosed with dlbcl</v>
      </c>
      <c r="G57" s="2" t="s">
        <v>131</v>
      </c>
      <c r="H57" s="2" t="s">
        <v>335</v>
      </c>
      <c r="I57" s="2" t="s">
        <v>69</v>
      </c>
      <c r="J57" s="2" t="str">
        <f>IFERROR(VLOOKUP(I57,'ATP - Keywords'!$E:$E,1,FALSE),"#N/A")</f>
        <v>https://www.columvi.com/about/what-is-DLBCL.html</v>
      </c>
      <c r="K57" s="2" t="str">
        <f t="shared" si="0"/>
        <v>https://www.columvi.com/about/what-is-DLBCL.html?c=gft-1890321fc12</v>
      </c>
      <c r="L57" s="2" t="b">
        <v>1</v>
      </c>
      <c r="M57" s="2" t="s">
        <v>5</v>
      </c>
    </row>
    <row r="58" spans="1:13" ht="15.75" customHeight="1" x14ac:dyDescent="0.3">
      <c r="A58" s="2" t="s">
        <v>307</v>
      </c>
      <c r="B58" s="2" t="s">
        <v>311</v>
      </c>
      <c r="C58" s="2" t="s">
        <v>76</v>
      </c>
      <c r="D58" s="2" t="str">
        <f>IFERROR(VLOOKUP(C58,'ATP - Keywords'!$B:$B,1,FALSE),"#N/A")</f>
        <v>Unbranded DLBCL Diagnosis</v>
      </c>
      <c r="E58" s="2" t="s">
        <v>188</v>
      </c>
      <c r="F58" s="2" t="str">
        <f>IFERROR(VLOOKUP(E58,'ATP - Keywords'!$C:$C,1,FALSE),"#N/A")</f>
        <v>dlbcl diagnosis info</v>
      </c>
      <c r="G58" s="2" t="s">
        <v>131</v>
      </c>
      <c r="H58" s="2" t="s">
        <v>335</v>
      </c>
      <c r="I58" s="2" t="s">
        <v>69</v>
      </c>
      <c r="J58" s="2" t="str">
        <f>IFERROR(VLOOKUP(I58,'ATP - Keywords'!$E:$E,1,FALSE),"#N/A")</f>
        <v>https://www.columvi.com/about/what-is-DLBCL.html</v>
      </c>
      <c r="K58" s="2" t="str">
        <f t="shared" si="0"/>
        <v>https://www.columvi.com/about/what-is-DLBCL.html?c=gft-1890321fc12</v>
      </c>
      <c r="L58" s="2" t="b">
        <v>1</v>
      </c>
      <c r="M58" s="2" t="s">
        <v>5</v>
      </c>
    </row>
    <row r="59" spans="1:13" ht="15.75" customHeight="1" x14ac:dyDescent="0.3">
      <c r="A59" s="2" t="s">
        <v>307</v>
      </c>
      <c r="B59" s="2" t="s">
        <v>312</v>
      </c>
      <c r="C59" s="2" t="s">
        <v>78</v>
      </c>
      <c r="D59" s="2" t="str">
        <f>IFERROR(VLOOKUP(C59,'ATP - Keywords'!$B:$B,1,FALSE),"#N/A")</f>
        <v>Unbranded DLBCL Resources</v>
      </c>
      <c r="E59" s="2" t="s">
        <v>189</v>
      </c>
      <c r="F59" s="2" t="str">
        <f>IFERROR(VLOOKUP(E59,'ATP - Keywords'!$C:$C,1,FALSE),"#N/A")</f>
        <v>dlbcl information</v>
      </c>
      <c r="G59" s="2" t="s">
        <v>131</v>
      </c>
      <c r="H59" s="2" t="s">
        <v>336</v>
      </c>
      <c r="I59" s="2" t="s">
        <v>81</v>
      </c>
      <c r="J59" s="2" t="str">
        <f>IFERROR(VLOOKUP(I59,'ATP - Keywords'!$E:$E,1,FALSE),"#N/A")</f>
        <v>https://www.columvi.com/resources/helpful-links.html</v>
      </c>
      <c r="K59" s="2" t="str">
        <f t="shared" si="0"/>
        <v>https://www.columvi.com/resources/helpful-links.html?c=gft-1890321fc12</v>
      </c>
      <c r="L59" s="2" t="b">
        <v>1</v>
      </c>
      <c r="M59" s="2" t="s">
        <v>5</v>
      </c>
    </row>
    <row r="60" spans="1:13" ht="15.75" customHeight="1" x14ac:dyDescent="0.3">
      <c r="A60" s="2" t="s">
        <v>307</v>
      </c>
      <c r="B60" s="2" t="s">
        <v>312</v>
      </c>
      <c r="C60" s="2" t="s">
        <v>78</v>
      </c>
      <c r="D60" s="2" t="str">
        <f>IFERROR(VLOOKUP(C60,'ATP - Keywords'!$B:$B,1,FALSE),"#N/A")</f>
        <v>Unbranded DLBCL Resources</v>
      </c>
      <c r="E60" s="2" t="s">
        <v>191</v>
      </c>
      <c r="F60" s="2" t="str">
        <f>IFERROR(VLOOKUP(E60,'ATP - Keywords'!$C:$C,1,FALSE),"#N/A")</f>
        <v>dlbcl patient information</v>
      </c>
      <c r="G60" s="2" t="s">
        <v>131</v>
      </c>
      <c r="H60" s="2" t="s">
        <v>336</v>
      </c>
      <c r="I60" s="2" t="s">
        <v>81</v>
      </c>
      <c r="J60" s="2" t="str">
        <f>IFERROR(VLOOKUP(I60,'ATP - Keywords'!$E:$E,1,FALSE),"#N/A")</f>
        <v>https://www.columvi.com/resources/helpful-links.html</v>
      </c>
      <c r="K60" s="2" t="str">
        <f t="shared" si="0"/>
        <v>https://www.columvi.com/resources/helpful-links.html?c=gft-1890321fc12</v>
      </c>
      <c r="L60" s="2" t="b">
        <v>1</v>
      </c>
      <c r="M60" s="2" t="s">
        <v>5</v>
      </c>
    </row>
    <row r="61" spans="1:13" ht="15.75" customHeight="1" x14ac:dyDescent="0.3">
      <c r="A61" s="2" t="s">
        <v>307</v>
      </c>
      <c r="B61" s="2" t="s">
        <v>312</v>
      </c>
      <c r="C61" s="2" t="s">
        <v>78</v>
      </c>
      <c r="D61" s="2" t="str">
        <f>IFERROR(VLOOKUP(C61,'ATP - Keywords'!$B:$B,1,FALSE),"#N/A")</f>
        <v>Unbranded DLBCL Resources</v>
      </c>
      <c r="E61" s="2" t="s">
        <v>192</v>
      </c>
      <c r="F61" s="2" t="str">
        <f>IFERROR(VLOOKUP(E61,'ATP - Keywords'!$C:$C,1,FALSE),"#N/A")</f>
        <v>large b cell lymphoma information</v>
      </c>
      <c r="G61" s="2" t="s">
        <v>131</v>
      </c>
      <c r="H61" s="2" t="s">
        <v>336</v>
      </c>
      <c r="I61" s="2" t="s">
        <v>81</v>
      </c>
      <c r="J61" s="2" t="str">
        <f>IFERROR(VLOOKUP(I61,'ATP - Keywords'!$E:$E,1,FALSE),"#N/A")</f>
        <v>https://www.columvi.com/resources/helpful-links.html</v>
      </c>
      <c r="K61" s="2" t="str">
        <f t="shared" si="0"/>
        <v>https://www.columvi.com/resources/helpful-links.html?c=gft-1890321fc12</v>
      </c>
      <c r="L61" s="2" t="b">
        <v>1</v>
      </c>
      <c r="M61" s="2" t="s">
        <v>5</v>
      </c>
    </row>
    <row r="62" spans="1:13" ht="15.75" customHeight="1" x14ac:dyDescent="0.3">
      <c r="A62" s="2" t="s">
        <v>307</v>
      </c>
      <c r="B62" s="2" t="s">
        <v>312</v>
      </c>
      <c r="C62" s="2" t="s">
        <v>78</v>
      </c>
      <c r="D62" s="2" t="str">
        <f>IFERROR(VLOOKUP(C62,'ATP - Keywords'!$B:$B,1,FALSE),"#N/A")</f>
        <v>Unbranded DLBCL Resources</v>
      </c>
      <c r="E62" s="2" t="s">
        <v>193</v>
      </c>
      <c r="F62" s="2" t="str">
        <f>IFERROR(VLOOKUP(E62,'ATP - Keywords'!$C:$C,1,FALSE),"#N/A")</f>
        <v>large b cell lymphoma patient information</v>
      </c>
      <c r="G62" s="2" t="s">
        <v>131</v>
      </c>
      <c r="H62" s="2" t="s">
        <v>336</v>
      </c>
      <c r="I62" s="2" t="s">
        <v>81</v>
      </c>
      <c r="J62" s="2" t="str">
        <f>IFERROR(VLOOKUP(I62,'ATP - Keywords'!$E:$E,1,FALSE),"#N/A")</f>
        <v>https://www.columvi.com/resources/helpful-links.html</v>
      </c>
      <c r="K62" s="2" t="str">
        <f t="shared" si="0"/>
        <v>https://www.columvi.com/resources/helpful-links.html?c=gft-1890321fc12</v>
      </c>
      <c r="L62" s="2" t="b">
        <v>1</v>
      </c>
      <c r="M62" s="2" t="s">
        <v>5</v>
      </c>
    </row>
    <row r="63" spans="1:13" ht="15.75" customHeight="1" x14ac:dyDescent="0.3">
      <c r="A63" s="2" t="s">
        <v>307</v>
      </c>
      <c r="B63" s="2" t="s">
        <v>312</v>
      </c>
      <c r="C63" s="2" t="s">
        <v>78</v>
      </c>
      <c r="D63" s="2" t="str">
        <f>IFERROR(VLOOKUP(C63,'ATP - Keywords'!$B:$B,1,FALSE),"#N/A")</f>
        <v>Unbranded DLBCL Resources</v>
      </c>
      <c r="E63" s="2" t="s">
        <v>194</v>
      </c>
      <c r="F63" s="2" t="str">
        <f>IFERROR(VLOOKUP(E63,'ATP - Keywords'!$C:$C,1,FALSE),"#N/A")</f>
        <v>the large b-cell lymphoma</v>
      </c>
      <c r="G63" s="2" t="s">
        <v>131</v>
      </c>
      <c r="H63" s="2" t="s">
        <v>336</v>
      </c>
      <c r="I63" s="2" t="s">
        <v>81</v>
      </c>
      <c r="J63" s="2" t="str">
        <f>IFERROR(VLOOKUP(I63,'ATP - Keywords'!$E:$E,1,FALSE),"#N/A")</f>
        <v>https://www.columvi.com/resources/helpful-links.html</v>
      </c>
      <c r="K63" s="2" t="str">
        <f t="shared" si="0"/>
        <v>https://www.columvi.com/resources/helpful-links.html?c=gft-1890321fc12</v>
      </c>
      <c r="L63" s="2" t="b">
        <v>1</v>
      </c>
      <c r="M63" s="2" t="s">
        <v>5</v>
      </c>
    </row>
    <row r="64" spans="1:13" ht="15.75" customHeight="1" x14ac:dyDescent="0.3">
      <c r="A64" s="2" t="s">
        <v>307</v>
      </c>
      <c r="B64" s="2" t="s">
        <v>312</v>
      </c>
      <c r="C64" s="2" t="s">
        <v>78</v>
      </c>
      <c r="D64" s="2" t="str">
        <f>IFERROR(VLOOKUP(C64,'ATP - Keywords'!$B:$B,1,FALSE),"#N/A")</f>
        <v>Unbranded DLBCL Resources</v>
      </c>
      <c r="E64" s="2" t="s">
        <v>195</v>
      </c>
      <c r="F64" s="2" t="str">
        <f>IFERROR(VLOOKUP(E64,'ATP - Keywords'!$C:$C,1,FALSE),"#N/A")</f>
        <v>dlbcl resources</v>
      </c>
      <c r="G64" s="2" t="s">
        <v>131</v>
      </c>
      <c r="H64" s="2" t="s">
        <v>336</v>
      </c>
      <c r="I64" s="2" t="s">
        <v>81</v>
      </c>
      <c r="J64" s="2" t="str">
        <f>IFERROR(VLOOKUP(I64,'ATP - Keywords'!$E:$E,1,FALSE),"#N/A")</f>
        <v>https://www.columvi.com/resources/helpful-links.html</v>
      </c>
      <c r="K64" s="2" t="str">
        <f t="shared" si="0"/>
        <v>https://www.columvi.com/resources/helpful-links.html?c=gft-1890321fc12</v>
      </c>
      <c r="L64" s="2" t="b">
        <v>1</v>
      </c>
      <c r="M64" s="2" t="s">
        <v>5</v>
      </c>
    </row>
    <row r="65" spans="1:13" ht="15.75" customHeight="1" x14ac:dyDescent="0.3">
      <c r="A65" s="2" t="s">
        <v>307</v>
      </c>
      <c r="B65" s="2" t="s">
        <v>312</v>
      </c>
      <c r="C65" s="2" t="s">
        <v>78</v>
      </c>
      <c r="D65" s="2" t="str">
        <f>IFERROR(VLOOKUP(C65,'ATP - Keywords'!$B:$B,1,FALSE),"#N/A")</f>
        <v>Unbranded DLBCL Resources</v>
      </c>
      <c r="E65" s="2" t="s">
        <v>196</v>
      </c>
      <c r="F65" s="2" t="str">
        <f>IFERROR(VLOOKUP(E65,'ATP - Keywords'!$C:$C,1,FALSE),"#N/A")</f>
        <v>dlbcl resources for patients</v>
      </c>
      <c r="G65" s="2" t="s">
        <v>131</v>
      </c>
      <c r="H65" s="2" t="s">
        <v>336</v>
      </c>
      <c r="I65" s="2" t="s">
        <v>81</v>
      </c>
      <c r="J65" s="2" t="str">
        <f>IFERROR(VLOOKUP(I65,'ATP - Keywords'!$E:$E,1,FALSE),"#N/A")</f>
        <v>https://www.columvi.com/resources/helpful-links.html</v>
      </c>
      <c r="K65" s="2" t="str">
        <f t="shared" si="0"/>
        <v>https://www.columvi.com/resources/helpful-links.html?c=gft-1890321fc12</v>
      </c>
      <c r="L65" s="2" t="b">
        <v>1</v>
      </c>
      <c r="M65" s="2" t="s">
        <v>5</v>
      </c>
    </row>
    <row r="66" spans="1:13" ht="15.75" customHeight="1" x14ac:dyDescent="0.3">
      <c r="A66" s="2" t="s">
        <v>307</v>
      </c>
      <c r="B66" s="2" t="s">
        <v>312</v>
      </c>
      <c r="C66" s="2" t="s">
        <v>78</v>
      </c>
      <c r="D66" s="2" t="str">
        <f>IFERROR(VLOOKUP(C66,'ATP - Keywords'!$B:$B,1,FALSE),"#N/A")</f>
        <v>Unbranded DLBCL Resources</v>
      </c>
      <c r="E66" s="2" t="s">
        <v>197</v>
      </c>
      <c r="F66" s="2" t="str">
        <f>IFERROR(VLOOKUP(E66,'ATP - Keywords'!$C:$C,1,FALSE),"#N/A")</f>
        <v>patient resources diffuse large b cell lymphoma</v>
      </c>
      <c r="G66" s="2" t="s">
        <v>131</v>
      </c>
      <c r="H66" s="2" t="s">
        <v>336</v>
      </c>
      <c r="I66" s="2" t="s">
        <v>81</v>
      </c>
      <c r="J66" s="2" t="str">
        <f>IFERROR(VLOOKUP(I66,'ATP - Keywords'!$E:$E,1,FALSE),"#N/A")</f>
        <v>https://www.columvi.com/resources/helpful-links.html</v>
      </c>
      <c r="K66" s="2" t="str">
        <f t="shared" ref="K66:K129" si="1">CONCATENATE(J66,"?c=",M66)</f>
        <v>https://www.columvi.com/resources/helpful-links.html?c=gft-1890321fc12</v>
      </c>
      <c r="L66" s="2" t="b">
        <v>1</v>
      </c>
      <c r="M66" s="2" t="s">
        <v>5</v>
      </c>
    </row>
    <row r="67" spans="1:13" ht="15.75" customHeight="1" x14ac:dyDescent="0.3">
      <c r="A67" s="2" t="s">
        <v>307</v>
      </c>
      <c r="B67" s="2" t="s">
        <v>312</v>
      </c>
      <c r="C67" s="2" t="s">
        <v>78</v>
      </c>
      <c r="D67" s="2" t="str">
        <f>IFERROR(VLOOKUP(C67,'ATP - Keywords'!$B:$B,1,FALSE),"#N/A")</f>
        <v>Unbranded DLBCL Resources</v>
      </c>
      <c r="E67" s="2" t="s">
        <v>198</v>
      </c>
      <c r="F67" s="2" t="str">
        <f>IFERROR(VLOOKUP(E67,'ATP - Keywords'!$C:$C,1,FALSE),"#N/A")</f>
        <v>dlbcl caregiver resources</v>
      </c>
      <c r="G67" s="2" t="s">
        <v>131</v>
      </c>
      <c r="H67" s="2" t="s">
        <v>336</v>
      </c>
      <c r="I67" s="2" t="s">
        <v>81</v>
      </c>
      <c r="J67" s="2" t="str">
        <f>IFERROR(VLOOKUP(I67,'ATP - Keywords'!$E:$E,1,FALSE),"#N/A")</f>
        <v>https://www.columvi.com/resources/helpful-links.html</v>
      </c>
      <c r="K67" s="2" t="str">
        <f t="shared" si="1"/>
        <v>https://www.columvi.com/resources/helpful-links.html?c=gft-1890321fc12</v>
      </c>
      <c r="L67" s="2" t="b">
        <v>1</v>
      </c>
      <c r="M67" s="2" t="s">
        <v>5</v>
      </c>
    </row>
    <row r="68" spans="1:13" ht="15.75" customHeight="1" x14ac:dyDescent="0.3">
      <c r="A68" s="2" t="s">
        <v>307</v>
      </c>
      <c r="B68" s="2" t="s">
        <v>312</v>
      </c>
      <c r="C68" s="2" t="s">
        <v>78</v>
      </c>
      <c r="D68" s="2" t="str">
        <f>IFERROR(VLOOKUP(C68,'ATP - Keywords'!$B:$B,1,FALSE),"#N/A")</f>
        <v>Unbranded DLBCL Resources</v>
      </c>
      <c r="E68" s="2" t="s">
        <v>199</v>
      </c>
      <c r="F68" s="2" t="str">
        <f>IFERROR(VLOOKUP(E68,'ATP - Keywords'!$C:$C,1,FALSE),"#N/A")</f>
        <v>dlbcl resources for caregivers</v>
      </c>
      <c r="G68" s="2" t="s">
        <v>131</v>
      </c>
      <c r="H68" s="2" t="s">
        <v>336</v>
      </c>
      <c r="I68" s="2" t="s">
        <v>81</v>
      </c>
      <c r="J68" s="2" t="str">
        <f>IFERROR(VLOOKUP(I68,'ATP - Keywords'!$E:$E,1,FALSE),"#N/A")</f>
        <v>https://www.columvi.com/resources/helpful-links.html</v>
      </c>
      <c r="K68" s="2" t="str">
        <f t="shared" si="1"/>
        <v>https://www.columvi.com/resources/helpful-links.html?c=gft-1890321fc12</v>
      </c>
      <c r="L68" s="2" t="b">
        <v>1</v>
      </c>
      <c r="M68" s="2" t="s">
        <v>5</v>
      </c>
    </row>
    <row r="69" spans="1:13" ht="15.75" customHeight="1" x14ac:dyDescent="0.3">
      <c r="A69" s="2" t="s">
        <v>307</v>
      </c>
      <c r="B69" s="2" t="s">
        <v>312</v>
      </c>
      <c r="C69" s="2" t="s">
        <v>78</v>
      </c>
      <c r="D69" s="2" t="str">
        <f>IFERROR(VLOOKUP(C69,'ATP - Keywords'!$B:$B,1,FALSE),"#N/A")</f>
        <v>Unbranded DLBCL Resources</v>
      </c>
      <c r="E69" s="2" t="s">
        <v>200</v>
      </c>
      <c r="F69" s="2" t="str">
        <f>IFERROR(VLOOKUP(E69,'ATP - Keywords'!$C:$C,1,FALSE),"#N/A")</f>
        <v>dlbcl support</v>
      </c>
      <c r="G69" s="2" t="s">
        <v>131</v>
      </c>
      <c r="H69" s="2" t="s">
        <v>336</v>
      </c>
      <c r="I69" s="2" t="s">
        <v>81</v>
      </c>
      <c r="J69" s="2" t="str">
        <f>IFERROR(VLOOKUP(I69,'ATP - Keywords'!$E:$E,1,FALSE),"#N/A")</f>
        <v>https://www.columvi.com/resources/helpful-links.html</v>
      </c>
      <c r="K69" s="2" t="str">
        <f t="shared" si="1"/>
        <v>https://www.columvi.com/resources/helpful-links.html?c=gft-1890321fc12</v>
      </c>
      <c r="L69" s="2" t="b">
        <v>1</v>
      </c>
      <c r="M69" s="2" t="s">
        <v>5</v>
      </c>
    </row>
    <row r="70" spans="1:13" ht="15.75" customHeight="1" x14ac:dyDescent="0.3">
      <c r="A70" s="2" t="s">
        <v>307</v>
      </c>
      <c r="B70" s="2" t="s">
        <v>312</v>
      </c>
      <c r="C70" s="2" t="s">
        <v>78</v>
      </c>
      <c r="D70" s="2" t="str">
        <f>IFERROR(VLOOKUP(C70,'ATP - Keywords'!$B:$B,1,FALSE),"#N/A")</f>
        <v>Unbranded DLBCL Resources</v>
      </c>
      <c r="E70" s="2" t="s">
        <v>201</v>
      </c>
      <c r="F70" s="2" t="str">
        <f>IFERROR(VLOOKUP(E70,'ATP - Keywords'!$C:$C,1,FALSE),"#N/A")</f>
        <v>patient support dlbcl</v>
      </c>
      <c r="G70" s="2" t="s">
        <v>131</v>
      </c>
      <c r="H70" s="2" t="s">
        <v>336</v>
      </c>
      <c r="I70" s="2" t="s">
        <v>81</v>
      </c>
      <c r="J70" s="2" t="str">
        <f>IFERROR(VLOOKUP(I70,'ATP - Keywords'!$E:$E,1,FALSE),"#N/A")</f>
        <v>https://www.columvi.com/resources/helpful-links.html</v>
      </c>
      <c r="K70" s="2" t="str">
        <f t="shared" si="1"/>
        <v>https://www.columvi.com/resources/helpful-links.html?c=gft-1890321fc12</v>
      </c>
      <c r="L70" s="2" t="b">
        <v>1</v>
      </c>
      <c r="M70" s="2" t="s">
        <v>5</v>
      </c>
    </row>
    <row r="71" spans="1:13" ht="15.75" customHeight="1" x14ac:dyDescent="0.3">
      <c r="A71" s="2" t="s">
        <v>307</v>
      </c>
      <c r="B71" s="2" t="s">
        <v>312</v>
      </c>
      <c r="C71" s="2" t="s">
        <v>78</v>
      </c>
      <c r="D71" s="2" t="str">
        <f>IFERROR(VLOOKUP(C71,'ATP - Keywords'!$B:$B,1,FALSE),"#N/A")</f>
        <v>Unbranded DLBCL Resources</v>
      </c>
      <c r="E71" s="2" t="s">
        <v>202</v>
      </c>
      <c r="F71" s="2" t="str">
        <f>IFERROR(VLOOKUP(E71,'ATP - Keywords'!$C:$C,1,FALSE),"#N/A")</f>
        <v>downloadable resources for dlbcl</v>
      </c>
      <c r="G71" s="2" t="s">
        <v>131</v>
      </c>
      <c r="H71" s="2" t="s">
        <v>336</v>
      </c>
      <c r="I71" s="2" t="s">
        <v>81</v>
      </c>
      <c r="J71" s="2" t="str">
        <f>IFERROR(VLOOKUP(I71,'ATP - Keywords'!$E:$E,1,FALSE),"#N/A")</f>
        <v>https://www.columvi.com/resources/helpful-links.html</v>
      </c>
      <c r="K71" s="2" t="str">
        <f t="shared" si="1"/>
        <v>https://www.columvi.com/resources/helpful-links.html?c=gft-1890321fc12</v>
      </c>
      <c r="L71" s="2" t="b">
        <v>1</v>
      </c>
      <c r="M71" s="2" t="s">
        <v>5</v>
      </c>
    </row>
    <row r="72" spans="1:13" ht="15.75" customHeight="1" x14ac:dyDescent="0.3">
      <c r="A72" s="2" t="s">
        <v>307</v>
      </c>
      <c r="B72" s="2" t="s">
        <v>312</v>
      </c>
      <c r="C72" s="2" t="s">
        <v>78</v>
      </c>
      <c r="D72" s="2" t="str">
        <f>IFERROR(VLOOKUP(C72,'ATP - Keywords'!$B:$B,1,FALSE),"#N/A")</f>
        <v>Unbranded DLBCL Resources</v>
      </c>
      <c r="E72" s="2" t="s">
        <v>203</v>
      </c>
      <c r="F72" s="2" t="str">
        <f>IFERROR(VLOOKUP(E72,'ATP - Keywords'!$C:$C,1,FALSE),"#N/A")</f>
        <v>dlbcl brochure</v>
      </c>
      <c r="G72" s="2" t="s">
        <v>131</v>
      </c>
      <c r="H72" s="2" t="s">
        <v>336</v>
      </c>
      <c r="I72" s="2" t="s">
        <v>81</v>
      </c>
      <c r="J72" s="2" t="str">
        <f>IFERROR(VLOOKUP(I72,'ATP - Keywords'!$E:$E,1,FALSE),"#N/A")</f>
        <v>https://www.columvi.com/resources/helpful-links.html</v>
      </c>
      <c r="K72" s="2" t="str">
        <f t="shared" si="1"/>
        <v>https://www.columvi.com/resources/helpful-links.html?c=gft-1890321fc12</v>
      </c>
      <c r="L72" s="2" t="b">
        <v>1</v>
      </c>
      <c r="M72" s="2" t="s">
        <v>5</v>
      </c>
    </row>
    <row r="73" spans="1:13" ht="15.75" customHeight="1" x14ac:dyDescent="0.3">
      <c r="A73" s="2" t="s">
        <v>307</v>
      </c>
      <c r="B73" s="2" t="s">
        <v>312</v>
      </c>
      <c r="C73" s="2" t="s">
        <v>78</v>
      </c>
      <c r="D73" s="2" t="str">
        <f>IFERROR(VLOOKUP(C73,'ATP - Keywords'!$B:$B,1,FALSE),"#N/A")</f>
        <v>Unbranded DLBCL Resources</v>
      </c>
      <c r="E73" s="2" t="s">
        <v>204</v>
      </c>
      <c r="F73" s="2" t="str">
        <f>IFERROR(VLOOKUP(E73,'ATP - Keywords'!$C:$C,1,FALSE),"#N/A")</f>
        <v>dlbcl patient brochure</v>
      </c>
      <c r="G73" s="2" t="s">
        <v>131</v>
      </c>
      <c r="H73" s="2" t="s">
        <v>336</v>
      </c>
      <c r="I73" s="2" t="s">
        <v>81</v>
      </c>
      <c r="J73" s="2" t="str">
        <f>IFERROR(VLOOKUP(I73,'ATP - Keywords'!$E:$E,1,FALSE),"#N/A")</f>
        <v>https://www.columvi.com/resources/helpful-links.html</v>
      </c>
      <c r="K73" s="2" t="str">
        <f t="shared" si="1"/>
        <v>https://www.columvi.com/resources/helpful-links.html?c=gft-1890321fc12</v>
      </c>
      <c r="L73" s="2" t="b">
        <v>1</v>
      </c>
      <c r="M73" s="2" t="s">
        <v>5</v>
      </c>
    </row>
    <row r="74" spans="1:13" ht="15.75" customHeight="1" x14ac:dyDescent="0.3">
      <c r="A74" s="2" t="s">
        <v>307</v>
      </c>
      <c r="B74" s="2" t="s">
        <v>313</v>
      </c>
      <c r="C74" s="2" t="s">
        <v>83</v>
      </c>
      <c r="D74" s="2" t="str">
        <f>IFERROR(VLOOKUP(C74,'ATP - Keywords'!$B:$B,1,FALSE),"#N/A")</f>
        <v>Unbranded DLBCL Financial Support</v>
      </c>
      <c r="E74" s="2" t="s">
        <v>205</v>
      </c>
      <c r="F74" s="2" t="str">
        <f>IFERROR(VLOOKUP(E74,'ATP - Keywords'!$C:$C,1,FALSE),"#N/A")</f>
        <v>dlbcl financial support</v>
      </c>
      <c r="G74" s="2" t="s">
        <v>131</v>
      </c>
      <c r="H74" s="2" t="s">
        <v>337</v>
      </c>
      <c r="I74" s="2" t="s">
        <v>88</v>
      </c>
      <c r="J74" s="2" t="str">
        <f>IFERROR(VLOOKUP(I74,'ATP - Keywords'!$E:$E,1,FALSE),"#N/A")</f>
        <v>https://www.columvi.com/financial-support/assistance-options.html</v>
      </c>
      <c r="K74" s="2" t="str">
        <f t="shared" si="1"/>
        <v>https://www.columvi.com/financial-support/assistance-options.html?c=gft-1890321fc12</v>
      </c>
      <c r="L74" s="2" t="b">
        <v>1</v>
      </c>
      <c r="M74" s="2" t="s">
        <v>5</v>
      </c>
    </row>
    <row r="75" spans="1:13" ht="15.75" customHeight="1" x14ac:dyDescent="0.3">
      <c r="A75" s="2" t="s">
        <v>307</v>
      </c>
      <c r="B75" s="2" t="s">
        <v>313</v>
      </c>
      <c r="C75" s="2" t="s">
        <v>83</v>
      </c>
      <c r="D75" s="2" t="str">
        <f>IFERROR(VLOOKUP(C75,'ATP - Keywords'!$B:$B,1,FALSE),"#N/A")</f>
        <v>Unbranded DLBCL Financial Support</v>
      </c>
      <c r="E75" s="2" t="s">
        <v>207</v>
      </c>
      <c r="F75" s="2" t="str">
        <f>IFERROR(VLOOKUP(E75,'ATP - Keywords'!$C:$C,1,FALSE),"#N/A")</f>
        <v>dlbcl financial assistance</v>
      </c>
      <c r="G75" s="2" t="s">
        <v>131</v>
      </c>
      <c r="H75" s="2" t="s">
        <v>337</v>
      </c>
      <c r="I75" s="2" t="s">
        <v>88</v>
      </c>
      <c r="J75" s="2" t="str">
        <f>IFERROR(VLOOKUP(I75,'ATP - Keywords'!$E:$E,1,FALSE),"#N/A")</f>
        <v>https://www.columvi.com/financial-support/assistance-options.html</v>
      </c>
      <c r="K75" s="2" t="str">
        <f t="shared" si="1"/>
        <v>https://www.columvi.com/financial-support/assistance-options.html?c=gft-1890321fc12</v>
      </c>
      <c r="L75" s="2" t="b">
        <v>1</v>
      </c>
      <c r="M75" s="2" t="s">
        <v>5</v>
      </c>
    </row>
    <row r="76" spans="1:13" ht="15.75" customHeight="1" x14ac:dyDescent="0.3">
      <c r="A76" s="2" t="s">
        <v>307</v>
      </c>
      <c r="B76" s="2" t="s">
        <v>313</v>
      </c>
      <c r="C76" s="2" t="s">
        <v>83</v>
      </c>
      <c r="D76" s="2" t="str">
        <f>IFERROR(VLOOKUP(C76,'ATP - Keywords'!$B:$B,1,FALSE),"#N/A")</f>
        <v>Unbranded DLBCL Financial Support</v>
      </c>
      <c r="E76" s="2" t="s">
        <v>208</v>
      </c>
      <c r="F76" s="2" t="str">
        <f>IFERROR(VLOOKUP(E76,'ATP - Keywords'!$C:$C,1,FALSE),"#N/A")</f>
        <v>apply for financial support dlbcl treatment</v>
      </c>
      <c r="G76" s="2" t="s">
        <v>131</v>
      </c>
      <c r="H76" s="2" t="s">
        <v>337</v>
      </c>
      <c r="I76" s="2" t="s">
        <v>88</v>
      </c>
      <c r="J76" s="2" t="str">
        <f>IFERROR(VLOOKUP(I76,'ATP - Keywords'!$E:$E,1,FALSE),"#N/A")</f>
        <v>https://www.columvi.com/financial-support/assistance-options.html</v>
      </c>
      <c r="K76" s="2" t="str">
        <f t="shared" si="1"/>
        <v>https://www.columvi.com/financial-support/assistance-options.html?c=gft-1890321fc12</v>
      </c>
      <c r="L76" s="2" t="b">
        <v>1</v>
      </c>
      <c r="M76" s="2" t="s">
        <v>5</v>
      </c>
    </row>
    <row r="77" spans="1:13" ht="15.75" customHeight="1" x14ac:dyDescent="0.3">
      <c r="A77" s="2" t="s">
        <v>307</v>
      </c>
      <c r="B77" s="2" t="s">
        <v>313</v>
      </c>
      <c r="C77" s="2" t="s">
        <v>83</v>
      </c>
      <c r="D77" s="2" t="str">
        <f>IFERROR(VLOOKUP(C77,'ATP - Keywords'!$B:$B,1,FALSE),"#N/A")</f>
        <v>Unbranded DLBCL Financial Support</v>
      </c>
      <c r="E77" s="2" t="s">
        <v>209</v>
      </c>
      <c r="F77" s="2" t="str">
        <f>IFERROR(VLOOKUP(E77,'ATP - Keywords'!$C:$C,1,FALSE),"#N/A")</f>
        <v>diffuse large b cell lymphoma financial support</v>
      </c>
      <c r="G77" s="2" t="s">
        <v>131</v>
      </c>
      <c r="H77" s="2" t="s">
        <v>337</v>
      </c>
      <c r="I77" s="2" t="s">
        <v>88</v>
      </c>
      <c r="J77" s="2" t="str">
        <f>IFERROR(VLOOKUP(I77,'ATP - Keywords'!$E:$E,1,FALSE),"#N/A")</f>
        <v>https://www.columvi.com/financial-support/assistance-options.html</v>
      </c>
      <c r="K77" s="2" t="str">
        <f t="shared" si="1"/>
        <v>https://www.columvi.com/financial-support/assistance-options.html?c=gft-1890321fc12</v>
      </c>
      <c r="L77" s="2" t="b">
        <v>1</v>
      </c>
      <c r="M77" s="2" t="s">
        <v>5</v>
      </c>
    </row>
    <row r="78" spans="1:13" ht="15.75" customHeight="1" x14ac:dyDescent="0.3">
      <c r="A78" s="2" t="s">
        <v>307</v>
      </c>
      <c r="B78" s="2" t="s">
        <v>313</v>
      </c>
      <c r="C78" s="2" t="s">
        <v>83</v>
      </c>
      <c r="D78" s="2" t="str">
        <f>IFERROR(VLOOKUP(C78,'ATP - Keywords'!$B:$B,1,FALSE),"#N/A")</f>
        <v>Unbranded DLBCL Financial Support</v>
      </c>
      <c r="E78" s="2" t="s">
        <v>210</v>
      </c>
      <c r="F78" s="2" t="str">
        <f>IFERROR(VLOOKUP(E78,'ATP - Keywords'!$C:$C,1,FALSE),"#N/A")</f>
        <v>diffuse large b cell lymphoma financial assistance</v>
      </c>
      <c r="G78" s="2" t="s">
        <v>131</v>
      </c>
      <c r="H78" s="2" t="s">
        <v>337</v>
      </c>
      <c r="I78" s="2" t="s">
        <v>88</v>
      </c>
      <c r="J78" s="2" t="str">
        <f>IFERROR(VLOOKUP(I78,'ATP - Keywords'!$E:$E,1,FALSE),"#N/A")</f>
        <v>https://www.columvi.com/financial-support/assistance-options.html</v>
      </c>
      <c r="K78" s="2" t="str">
        <f t="shared" si="1"/>
        <v>https://www.columvi.com/financial-support/assistance-options.html?c=gft-1890321fc12</v>
      </c>
      <c r="L78" s="2" t="b">
        <v>1</v>
      </c>
      <c r="M78" s="2" t="s">
        <v>5</v>
      </c>
    </row>
    <row r="79" spans="1:13" ht="15.75" customHeight="1" x14ac:dyDescent="0.3">
      <c r="A79" s="5" t="s">
        <v>307</v>
      </c>
      <c r="B79" s="5" t="s">
        <v>314</v>
      </c>
      <c r="C79" s="5" t="s">
        <v>90</v>
      </c>
      <c r="D79" s="2" t="str">
        <f>IFERROR(VLOOKUP(C79,'ATP - Keywords'!$B:$B,1,FALSE),"#N/A")</f>
        <v>Unbranded DLBCL Results</v>
      </c>
      <c r="E79" s="5" t="s">
        <v>211</v>
      </c>
      <c r="F79" s="2" t="str">
        <f>IFERROR(VLOOKUP(E79,'ATP - Keywords'!$C:$C,1,FALSE),"#N/A")</f>
        <v>dlbcl results</v>
      </c>
      <c r="G79" s="5" t="s">
        <v>131</v>
      </c>
      <c r="H79" s="5" t="s">
        <v>338</v>
      </c>
      <c r="I79" s="5" t="s">
        <v>91</v>
      </c>
      <c r="J79" s="5" t="str">
        <f>IFERROR(VLOOKUP(I79,'ATP - Keywords'!$E:$E,1,FALSE),"#N/A")</f>
        <v>https://www.columvi.com/columvi-results/clinical-trial-results.html</v>
      </c>
      <c r="K79" s="5" t="str">
        <f t="shared" si="1"/>
        <v>https://www.columvi.com/columvi-results/clinical-trial-results.html?c=gft-1890321fc12</v>
      </c>
      <c r="L79" s="5" t="b">
        <v>1</v>
      </c>
      <c r="M79" s="5" t="s">
        <v>5</v>
      </c>
    </row>
    <row r="80" spans="1:13" ht="15.75" customHeight="1" x14ac:dyDescent="0.3">
      <c r="A80" s="5" t="s">
        <v>307</v>
      </c>
      <c r="B80" s="5" t="s">
        <v>314</v>
      </c>
      <c r="C80" s="5" t="s">
        <v>90</v>
      </c>
      <c r="D80" s="2" t="str">
        <f>IFERROR(VLOOKUP(C80,'ATP - Keywords'!$B:$B,1,FALSE),"#N/A")</f>
        <v>Unbranded DLBCL Results</v>
      </c>
      <c r="E80" s="5" t="s">
        <v>213</v>
      </c>
      <c r="F80" s="2" t="str">
        <f>IFERROR(VLOOKUP(E80,'ATP - Keywords'!$C:$C,1,FALSE),"#N/A")</f>
        <v>results for dlbcl</v>
      </c>
      <c r="G80" s="5" t="s">
        <v>131</v>
      </c>
      <c r="H80" s="5" t="s">
        <v>338</v>
      </c>
      <c r="I80" s="5" t="s">
        <v>91</v>
      </c>
      <c r="J80" s="5" t="str">
        <f>IFERROR(VLOOKUP(I80,'ATP - Keywords'!$E:$E,1,FALSE),"#N/A")</f>
        <v>https://www.columvi.com/columvi-results/clinical-trial-results.html</v>
      </c>
      <c r="K80" s="5" t="str">
        <f t="shared" si="1"/>
        <v>https://www.columvi.com/columvi-results/clinical-trial-results.html?c=gft-1890321fc12</v>
      </c>
      <c r="L80" s="5" t="b">
        <v>1</v>
      </c>
      <c r="M80" s="5" t="s">
        <v>5</v>
      </c>
    </row>
    <row r="81" spans="1:13" ht="15.75" customHeight="1" x14ac:dyDescent="0.3">
      <c r="A81" s="5" t="s">
        <v>307</v>
      </c>
      <c r="B81" s="5" t="s">
        <v>314</v>
      </c>
      <c r="C81" s="5" t="s">
        <v>90</v>
      </c>
      <c r="D81" s="2" t="str">
        <f>IFERROR(VLOOKUP(C81,'ATP - Keywords'!$B:$B,1,FALSE),"#N/A")</f>
        <v>Unbranded DLBCL Results</v>
      </c>
      <c r="E81" s="5" t="s">
        <v>214</v>
      </c>
      <c r="F81" s="2" t="str">
        <f>IFERROR(VLOOKUP(E81,'ATP - Keywords'!$C:$C,1,FALSE),"#N/A")</f>
        <v>large b cell lymphoma results</v>
      </c>
      <c r="G81" s="5" t="s">
        <v>131</v>
      </c>
      <c r="H81" s="5" t="s">
        <v>338</v>
      </c>
      <c r="I81" s="5" t="s">
        <v>91</v>
      </c>
      <c r="J81" s="5" t="str">
        <f>IFERROR(VLOOKUP(I81,'ATP - Keywords'!$E:$E,1,FALSE),"#N/A")</f>
        <v>https://www.columvi.com/columvi-results/clinical-trial-results.html</v>
      </c>
      <c r="K81" s="5" t="str">
        <f t="shared" si="1"/>
        <v>https://www.columvi.com/columvi-results/clinical-trial-results.html?c=gft-1890321fc12</v>
      </c>
      <c r="L81" s="5" t="b">
        <v>1</v>
      </c>
      <c r="M81" s="5" t="s">
        <v>5</v>
      </c>
    </row>
    <row r="82" spans="1:13" ht="15.75" customHeight="1" x14ac:dyDescent="0.3">
      <c r="A82" s="5" t="s">
        <v>307</v>
      </c>
      <c r="B82" s="5" t="s">
        <v>314</v>
      </c>
      <c r="C82" s="5" t="s">
        <v>90</v>
      </c>
      <c r="D82" s="2" t="str">
        <f>IFERROR(VLOOKUP(C82,'ATP - Keywords'!$B:$B,1,FALSE),"#N/A")</f>
        <v>Unbranded DLBCL Results</v>
      </c>
      <c r="E82" s="5" t="s">
        <v>215</v>
      </c>
      <c r="F82" s="2" t="str">
        <f>IFERROR(VLOOKUP(E82,'ATP - Keywords'!$C:$C,1,FALSE),"#N/A")</f>
        <v>results for large b cell lymphoma</v>
      </c>
      <c r="G82" s="5" t="s">
        <v>131</v>
      </c>
      <c r="H82" s="5" t="s">
        <v>338</v>
      </c>
      <c r="I82" s="5" t="s">
        <v>91</v>
      </c>
      <c r="J82" s="5" t="str">
        <f>IFERROR(VLOOKUP(I82,'ATP - Keywords'!$E:$E,1,FALSE),"#N/A")</f>
        <v>https://www.columvi.com/columvi-results/clinical-trial-results.html</v>
      </c>
      <c r="K82" s="5" t="str">
        <f t="shared" si="1"/>
        <v>https://www.columvi.com/columvi-results/clinical-trial-results.html?c=gft-1890321fc12</v>
      </c>
      <c r="L82" s="5" t="b">
        <v>1</v>
      </c>
      <c r="M82" s="5" t="s">
        <v>5</v>
      </c>
    </row>
    <row r="83" spans="1:13" ht="15.75" customHeight="1" x14ac:dyDescent="0.3">
      <c r="A83" s="5" t="s">
        <v>307</v>
      </c>
      <c r="B83" s="5" t="s">
        <v>314</v>
      </c>
      <c r="C83" s="5" t="s">
        <v>90</v>
      </c>
      <c r="D83" s="2" t="str">
        <f>IFERROR(VLOOKUP(C83,'ATP - Keywords'!$B:$B,1,FALSE),"#N/A")</f>
        <v>Unbranded DLBCL Results</v>
      </c>
      <c r="E83" s="5" t="s">
        <v>216</v>
      </c>
      <c r="F83" s="2" t="str">
        <f>IFERROR(VLOOKUP(E83,'ATP - Keywords'!$C:$C,1,FALSE),"#N/A")</f>
        <v>relapsed refractory large b cell lymphoma results</v>
      </c>
      <c r="G83" s="5" t="s">
        <v>131</v>
      </c>
      <c r="H83" s="5" t="s">
        <v>338</v>
      </c>
      <c r="I83" s="5" t="s">
        <v>91</v>
      </c>
      <c r="J83" s="5" t="str">
        <f>IFERROR(VLOOKUP(I83,'ATP - Keywords'!$E:$E,1,FALSE),"#N/A")</f>
        <v>https://www.columvi.com/columvi-results/clinical-trial-results.html</v>
      </c>
      <c r="K83" s="5" t="str">
        <f t="shared" si="1"/>
        <v>https://www.columvi.com/columvi-results/clinical-trial-results.html?c=gft-1890321fc12</v>
      </c>
      <c r="L83" s="5" t="b">
        <v>1</v>
      </c>
      <c r="M83" s="5" t="s">
        <v>5</v>
      </c>
    </row>
    <row r="84" spans="1:13" ht="15.75" customHeight="1" x14ac:dyDescent="0.3">
      <c r="A84" s="5" t="s">
        <v>307</v>
      </c>
      <c r="B84" s="5" t="s">
        <v>314</v>
      </c>
      <c r="C84" s="5" t="s">
        <v>90</v>
      </c>
      <c r="D84" s="2" t="str">
        <f>IFERROR(VLOOKUP(C84,'ATP - Keywords'!$B:$B,1,FALSE),"#N/A")</f>
        <v>Unbranded DLBCL Results</v>
      </c>
      <c r="E84" s="5" t="s">
        <v>217</v>
      </c>
      <c r="F84" s="2" t="str">
        <f>IFERROR(VLOOKUP(E84,'ATP - Keywords'!$C:$C,1,FALSE),"#N/A")</f>
        <v>results for relapsed refractory large b cell lymphoma</v>
      </c>
      <c r="G84" s="5" t="s">
        <v>131</v>
      </c>
      <c r="H84" s="5" t="s">
        <v>338</v>
      </c>
      <c r="I84" s="5" t="s">
        <v>91</v>
      </c>
      <c r="J84" s="5" t="str">
        <f>IFERROR(VLOOKUP(I84,'ATP - Keywords'!$E:$E,1,FALSE),"#N/A")</f>
        <v>https://www.columvi.com/columvi-results/clinical-trial-results.html</v>
      </c>
      <c r="K84" s="5" t="str">
        <f t="shared" si="1"/>
        <v>https://www.columvi.com/columvi-results/clinical-trial-results.html?c=gft-1890321fc12</v>
      </c>
      <c r="L84" s="5" t="b">
        <v>1</v>
      </c>
      <c r="M84" s="5" t="s">
        <v>5</v>
      </c>
    </row>
    <row r="85" spans="1:13" ht="15.75" customHeight="1" x14ac:dyDescent="0.3">
      <c r="A85" s="5" t="s">
        <v>307</v>
      </c>
      <c r="B85" s="5" t="s">
        <v>314</v>
      </c>
      <c r="C85" s="5" t="s">
        <v>90</v>
      </c>
      <c r="D85" s="2" t="str">
        <f>IFERROR(VLOOKUP(C85,'ATP - Keywords'!$B:$B,1,FALSE),"#N/A")</f>
        <v>Unbranded DLBCL Results</v>
      </c>
      <c r="E85" s="5" t="s">
        <v>218</v>
      </c>
      <c r="F85" s="2" t="str">
        <f>IFERROR(VLOOKUP(E85,'ATP - Keywords'!$C:$C,1,FALSE),"#N/A")</f>
        <v>dlbcl clinical results</v>
      </c>
      <c r="G85" s="5" t="s">
        <v>131</v>
      </c>
      <c r="H85" s="5" t="s">
        <v>338</v>
      </c>
      <c r="I85" s="5" t="s">
        <v>91</v>
      </c>
      <c r="J85" s="5" t="str">
        <f>IFERROR(VLOOKUP(I85,'ATP - Keywords'!$E:$E,1,FALSE),"#N/A")</f>
        <v>https://www.columvi.com/columvi-results/clinical-trial-results.html</v>
      </c>
      <c r="K85" s="5" t="str">
        <f t="shared" si="1"/>
        <v>https://www.columvi.com/columvi-results/clinical-trial-results.html?c=gft-1890321fc12</v>
      </c>
      <c r="L85" s="5" t="b">
        <v>1</v>
      </c>
      <c r="M85" s="5" t="s">
        <v>5</v>
      </c>
    </row>
    <row r="86" spans="1:13" ht="15.75" customHeight="1" x14ac:dyDescent="0.3">
      <c r="A86" s="5" t="s">
        <v>307</v>
      </c>
      <c r="B86" s="5" t="s">
        <v>314</v>
      </c>
      <c r="C86" s="5" t="s">
        <v>90</v>
      </c>
      <c r="D86" s="2" t="str">
        <f>IFERROR(VLOOKUP(C86,'ATP - Keywords'!$B:$B,1,FALSE),"#N/A")</f>
        <v>Unbranded DLBCL Results</v>
      </c>
      <c r="E86" s="5" t="s">
        <v>219</v>
      </c>
      <c r="F86" s="2" t="str">
        <f>IFERROR(VLOOKUP(E86,'ATP - Keywords'!$C:$C,1,FALSE),"#N/A")</f>
        <v>dlbcl clinical trial data</v>
      </c>
      <c r="G86" s="5" t="s">
        <v>131</v>
      </c>
      <c r="H86" s="5" t="s">
        <v>338</v>
      </c>
      <c r="I86" s="5" t="s">
        <v>91</v>
      </c>
      <c r="J86" s="5" t="str">
        <f>IFERROR(VLOOKUP(I86,'ATP - Keywords'!$E:$E,1,FALSE),"#N/A")</f>
        <v>https://www.columvi.com/columvi-results/clinical-trial-results.html</v>
      </c>
      <c r="K86" s="5" t="str">
        <f t="shared" si="1"/>
        <v>https://www.columvi.com/columvi-results/clinical-trial-results.html?c=gft-1890321fc12</v>
      </c>
      <c r="L86" s="5" t="b">
        <v>1</v>
      </c>
      <c r="M86" s="5" t="s">
        <v>5</v>
      </c>
    </row>
    <row r="87" spans="1:13" ht="15.75" customHeight="1" x14ac:dyDescent="0.3">
      <c r="A87" s="5" t="s">
        <v>307</v>
      </c>
      <c r="B87" s="5" t="s">
        <v>314</v>
      </c>
      <c r="C87" s="5" t="s">
        <v>90</v>
      </c>
      <c r="D87" s="2" t="str">
        <f>IFERROR(VLOOKUP(C87,'ATP - Keywords'!$B:$B,1,FALSE),"#N/A")</f>
        <v>Unbranded DLBCL Results</v>
      </c>
      <c r="E87" s="5" t="s">
        <v>220</v>
      </c>
      <c r="F87" s="2" t="str">
        <f>IFERROR(VLOOKUP(E87,'ATP - Keywords'!$C:$C,1,FALSE),"#N/A")</f>
        <v>diffuse large b cell lymphoma clinical trials</v>
      </c>
      <c r="G87" s="5" t="s">
        <v>131</v>
      </c>
      <c r="H87" s="5" t="s">
        <v>338</v>
      </c>
      <c r="I87" s="5" t="s">
        <v>91</v>
      </c>
      <c r="J87" s="5" t="str">
        <f>IFERROR(VLOOKUP(I87,'ATP - Keywords'!$E:$E,1,FALSE),"#N/A")</f>
        <v>https://www.columvi.com/columvi-results/clinical-trial-results.html</v>
      </c>
      <c r="K87" s="5" t="str">
        <f t="shared" si="1"/>
        <v>https://www.columvi.com/columvi-results/clinical-trial-results.html?c=gft-1890321fc12</v>
      </c>
      <c r="L87" s="5" t="b">
        <v>1</v>
      </c>
      <c r="M87" s="5" t="s">
        <v>5</v>
      </c>
    </row>
    <row r="88" spans="1:13" ht="15.75" customHeight="1" x14ac:dyDescent="0.3">
      <c r="A88" s="5" t="s">
        <v>307</v>
      </c>
      <c r="B88" s="5" t="s">
        <v>314</v>
      </c>
      <c r="C88" s="5" t="s">
        <v>90</v>
      </c>
      <c r="D88" s="2" t="str">
        <f>IFERROR(VLOOKUP(C88,'ATP - Keywords'!$B:$B,1,FALSE),"#N/A")</f>
        <v>Unbranded DLBCL Results</v>
      </c>
      <c r="E88" s="5" t="s">
        <v>221</v>
      </c>
      <c r="F88" s="2" t="str">
        <f>IFERROR(VLOOKUP(E88,'ATP - Keywords'!$C:$C,1,FALSE),"#N/A")</f>
        <v>dlbcl clinical studies</v>
      </c>
      <c r="G88" s="5" t="s">
        <v>131</v>
      </c>
      <c r="H88" s="5" t="s">
        <v>338</v>
      </c>
      <c r="I88" s="5" t="s">
        <v>91</v>
      </c>
      <c r="J88" s="5" t="str">
        <f>IFERROR(VLOOKUP(I88,'ATP - Keywords'!$E:$E,1,FALSE),"#N/A")</f>
        <v>https://www.columvi.com/columvi-results/clinical-trial-results.html</v>
      </c>
      <c r="K88" s="5" t="str">
        <f t="shared" si="1"/>
        <v>https://www.columvi.com/columvi-results/clinical-trial-results.html?c=gft-1890321fc12</v>
      </c>
      <c r="L88" s="5" t="b">
        <v>1</v>
      </c>
      <c r="M88" s="5" t="s">
        <v>5</v>
      </c>
    </row>
    <row r="89" spans="1:13" ht="15.75" customHeight="1" x14ac:dyDescent="0.3">
      <c r="A89" s="2" t="s">
        <v>315</v>
      </c>
      <c r="B89" s="2" t="s">
        <v>316</v>
      </c>
      <c r="C89" s="2" t="s">
        <v>95</v>
      </c>
      <c r="D89" s="2" t="str">
        <f>IFERROR(VLOOKUP(C89,'ATP - Keywords'!$B:$B,1,FALSE),"#N/A")</f>
        <v>Unbranded DLBCL Developments</v>
      </c>
      <c r="E89" s="2" t="s">
        <v>222</v>
      </c>
      <c r="F89" s="2" t="str">
        <f>IFERROR(VLOOKUP(E89,'ATP - Keywords'!$C:$C,1,FALSE),"#N/A")</f>
        <v>latest developments in dlbcl</v>
      </c>
      <c r="G89" s="2" t="s">
        <v>131</v>
      </c>
      <c r="H89" s="2" t="s">
        <v>339</v>
      </c>
      <c r="I89" s="2" t="s">
        <v>96</v>
      </c>
      <c r="J89" s="2" t="str">
        <f>IFERROR(VLOOKUP(I89,'ATP - Keywords'!$E:$E,1,FALSE),"#N/A")</f>
        <v>https://www.columvi.com/about-columvi/how-it-works.html</v>
      </c>
      <c r="K89" s="2" t="str">
        <f t="shared" si="1"/>
        <v>https://www.columvi.com/about-columvi/how-it-works.html?c=gft-1890321fc12</v>
      </c>
      <c r="L89" s="2" t="b">
        <v>1</v>
      </c>
      <c r="M89" s="2" t="s">
        <v>5</v>
      </c>
    </row>
    <row r="90" spans="1:13" ht="15.75" customHeight="1" x14ac:dyDescent="0.3">
      <c r="A90" s="2" t="s">
        <v>315</v>
      </c>
      <c r="B90" s="2" t="s">
        <v>316</v>
      </c>
      <c r="C90" s="2" t="s">
        <v>95</v>
      </c>
      <c r="D90" s="2" t="str">
        <f>IFERROR(VLOOKUP(C90,'ATP - Keywords'!$B:$B,1,FALSE),"#N/A")</f>
        <v>Unbranded DLBCL Developments</v>
      </c>
      <c r="E90" s="2" t="s">
        <v>224</v>
      </c>
      <c r="F90" s="2" t="str">
        <f>IFERROR(VLOOKUP(E90,'ATP - Keywords'!$C:$C,1,FALSE),"#N/A")</f>
        <v>dlbcl latest developments</v>
      </c>
      <c r="G90" s="2" t="s">
        <v>131</v>
      </c>
      <c r="H90" s="2" t="s">
        <v>339</v>
      </c>
      <c r="I90" s="2" t="s">
        <v>96</v>
      </c>
      <c r="J90" s="2" t="str">
        <f>IFERROR(VLOOKUP(I90,'ATP - Keywords'!$E:$E,1,FALSE),"#N/A")</f>
        <v>https://www.columvi.com/about-columvi/how-it-works.html</v>
      </c>
      <c r="K90" s="2" t="str">
        <f t="shared" si="1"/>
        <v>https://www.columvi.com/about-columvi/how-it-works.html?c=gft-1890321fc12</v>
      </c>
      <c r="L90" s="2" t="b">
        <v>1</v>
      </c>
      <c r="M90" s="2" t="s">
        <v>5</v>
      </c>
    </row>
    <row r="91" spans="1:13" ht="15.75" customHeight="1" x14ac:dyDescent="0.3">
      <c r="A91" s="2" t="s">
        <v>315</v>
      </c>
      <c r="B91" s="2" t="s">
        <v>316</v>
      </c>
      <c r="C91" s="2" t="s">
        <v>95</v>
      </c>
      <c r="D91" s="2" t="str">
        <f>IFERROR(VLOOKUP(C91,'ATP - Keywords'!$B:$B,1,FALSE),"#N/A")</f>
        <v>Unbranded DLBCL Developments</v>
      </c>
      <c r="E91" s="2" t="s">
        <v>225</v>
      </c>
      <c r="F91" s="2" t="str">
        <f>IFERROR(VLOOKUP(E91,'ATP - Keywords'!$C:$C,1,FALSE),"#N/A")</f>
        <v>latest developments in diffuse large b cell lymphoma</v>
      </c>
      <c r="G91" s="2" t="s">
        <v>131</v>
      </c>
      <c r="H91" s="2" t="s">
        <v>339</v>
      </c>
      <c r="I91" s="2" t="s">
        <v>96</v>
      </c>
      <c r="J91" s="2" t="str">
        <f>IFERROR(VLOOKUP(I91,'ATP - Keywords'!$E:$E,1,FALSE),"#N/A")</f>
        <v>https://www.columvi.com/about-columvi/how-it-works.html</v>
      </c>
      <c r="K91" s="2" t="str">
        <f t="shared" si="1"/>
        <v>https://www.columvi.com/about-columvi/how-it-works.html?c=gft-1890321fc12</v>
      </c>
      <c r="L91" s="2" t="b">
        <v>1</v>
      </c>
      <c r="M91" s="2" t="s">
        <v>5</v>
      </c>
    </row>
    <row r="92" spans="1:13" ht="15.75" customHeight="1" x14ac:dyDescent="0.3">
      <c r="A92" s="2" t="s">
        <v>315</v>
      </c>
      <c r="B92" s="2" t="s">
        <v>316</v>
      </c>
      <c r="C92" s="2" t="s">
        <v>95</v>
      </c>
      <c r="D92" s="2" t="str">
        <f>IFERROR(VLOOKUP(C92,'ATP - Keywords'!$B:$B,1,FALSE),"#N/A")</f>
        <v>Unbranded DLBCL Developments</v>
      </c>
      <c r="E92" s="2" t="s">
        <v>226</v>
      </c>
      <c r="F92" s="2" t="str">
        <f>IFERROR(VLOOKUP(E92,'ATP - Keywords'!$C:$C,1,FALSE),"#N/A")</f>
        <v>diffuse large b cell lymphoma latest developments</v>
      </c>
      <c r="G92" s="2" t="s">
        <v>131</v>
      </c>
      <c r="H92" s="2" t="s">
        <v>339</v>
      </c>
      <c r="I92" s="2" t="s">
        <v>96</v>
      </c>
      <c r="J92" s="2" t="str">
        <f>IFERROR(VLOOKUP(I92,'ATP - Keywords'!$E:$E,1,FALSE),"#N/A")</f>
        <v>https://www.columvi.com/about-columvi/how-it-works.html</v>
      </c>
      <c r="K92" s="2" t="str">
        <f t="shared" si="1"/>
        <v>https://www.columvi.com/about-columvi/how-it-works.html?c=gft-1890321fc12</v>
      </c>
      <c r="L92" s="2" t="b">
        <v>1</v>
      </c>
      <c r="M92" s="2" t="s">
        <v>5</v>
      </c>
    </row>
    <row r="93" spans="1:13" ht="15.75" customHeight="1" x14ac:dyDescent="0.3">
      <c r="A93" s="5" t="s">
        <v>315</v>
      </c>
      <c r="B93" s="5" t="s">
        <v>317</v>
      </c>
      <c r="C93" s="5" t="s">
        <v>98</v>
      </c>
      <c r="D93" s="2" t="str">
        <f>IFERROR(VLOOKUP(C93,'ATP - Keywords'!$B:$B,1,FALSE),"#N/A")</f>
        <v>Unbranded DLBCL Treatment</v>
      </c>
      <c r="E93" s="5" t="s">
        <v>227</v>
      </c>
      <c r="F93" s="2" t="str">
        <f>IFERROR(VLOOKUP(E93,'ATP - Keywords'!$C:$C,1,FALSE),"#N/A")</f>
        <v>dlbcl treatment</v>
      </c>
      <c r="G93" s="5" t="s">
        <v>131</v>
      </c>
      <c r="H93" s="5" t="s">
        <v>340</v>
      </c>
      <c r="I93" s="5" t="s">
        <v>101</v>
      </c>
      <c r="J93" s="5" t="str">
        <f>IFERROR(VLOOKUP(I93,'ATP - Keywords'!$E:$E,1,FALSE),"#N/A")</f>
        <v>https://www.columvi.com/about/treatment-goals-for-3l-dlbcl.html</v>
      </c>
      <c r="K93" s="5" t="str">
        <f t="shared" si="1"/>
        <v>https://www.columvi.com/about/treatment-goals-for-3l-dlbcl.html?c=gft-1890321fc12</v>
      </c>
      <c r="L93" s="5" t="b">
        <v>1</v>
      </c>
      <c r="M93" s="5" t="s">
        <v>5</v>
      </c>
    </row>
    <row r="94" spans="1:13" ht="15.75" customHeight="1" x14ac:dyDescent="0.3">
      <c r="A94" s="5" t="s">
        <v>315</v>
      </c>
      <c r="B94" s="5" t="s">
        <v>317</v>
      </c>
      <c r="C94" s="5" t="s">
        <v>98</v>
      </c>
      <c r="D94" s="2" t="str">
        <f>IFERROR(VLOOKUP(C94,'ATP - Keywords'!$B:$B,1,FALSE),"#N/A")</f>
        <v>Unbranded DLBCL Treatment</v>
      </c>
      <c r="E94" s="5" t="s">
        <v>229</v>
      </c>
      <c r="F94" s="2" t="str">
        <f>IFERROR(VLOOKUP(E94,'ATP - Keywords'!$C:$C,1,FALSE),"#N/A")</f>
        <v>dlbcl treatment options</v>
      </c>
      <c r="G94" s="5" t="s">
        <v>131</v>
      </c>
      <c r="H94" s="5" t="s">
        <v>340</v>
      </c>
      <c r="I94" s="5" t="s">
        <v>101</v>
      </c>
      <c r="J94" s="5" t="str">
        <f>IFERROR(VLOOKUP(I94,'ATP - Keywords'!$E:$E,1,FALSE),"#N/A")</f>
        <v>https://www.columvi.com/about/treatment-goals-for-3l-dlbcl.html</v>
      </c>
      <c r="K94" s="5" t="str">
        <f t="shared" si="1"/>
        <v>https://www.columvi.com/about/treatment-goals-for-3l-dlbcl.html?c=gft-1890321fc12</v>
      </c>
      <c r="L94" s="5" t="b">
        <v>1</v>
      </c>
      <c r="M94" s="5" t="s">
        <v>5</v>
      </c>
    </row>
    <row r="95" spans="1:13" ht="15.75" customHeight="1" x14ac:dyDescent="0.3">
      <c r="A95" s="5" t="s">
        <v>315</v>
      </c>
      <c r="B95" s="5" t="s">
        <v>317</v>
      </c>
      <c r="C95" s="5" t="s">
        <v>98</v>
      </c>
      <c r="D95" s="2" t="str">
        <f>IFERROR(VLOOKUP(C95,'ATP - Keywords'!$B:$B,1,FALSE),"#N/A")</f>
        <v>Unbranded DLBCL Treatment</v>
      </c>
      <c r="E95" s="5" t="s">
        <v>230</v>
      </c>
      <c r="F95" s="2" t="str">
        <f>IFERROR(VLOOKUP(E95,'ATP - Keywords'!$C:$C,1,FALSE),"#N/A")</f>
        <v>treating dlbcl</v>
      </c>
      <c r="G95" s="5" t="s">
        <v>131</v>
      </c>
      <c r="H95" s="5" t="s">
        <v>340</v>
      </c>
      <c r="I95" s="5" t="s">
        <v>101</v>
      </c>
      <c r="J95" s="5" t="str">
        <f>IFERROR(VLOOKUP(I95,'ATP - Keywords'!$E:$E,1,FALSE),"#N/A")</f>
        <v>https://www.columvi.com/about/treatment-goals-for-3l-dlbcl.html</v>
      </c>
      <c r="K95" s="5" t="str">
        <f t="shared" si="1"/>
        <v>https://www.columvi.com/about/treatment-goals-for-3l-dlbcl.html?c=gft-1890321fc12</v>
      </c>
      <c r="L95" s="5" t="b">
        <v>1</v>
      </c>
      <c r="M95" s="5" t="s">
        <v>5</v>
      </c>
    </row>
    <row r="96" spans="1:13" ht="15.75" customHeight="1" x14ac:dyDescent="0.3">
      <c r="A96" s="5" t="s">
        <v>315</v>
      </c>
      <c r="B96" s="5" t="s">
        <v>317</v>
      </c>
      <c r="C96" s="5" t="s">
        <v>98</v>
      </c>
      <c r="D96" s="2" t="str">
        <f>IFERROR(VLOOKUP(C96,'ATP - Keywords'!$B:$B,1,FALSE),"#N/A")</f>
        <v>Unbranded DLBCL Treatment</v>
      </c>
      <c r="E96" s="5" t="s">
        <v>231</v>
      </c>
      <c r="F96" s="2" t="str">
        <f>IFERROR(VLOOKUP(E96,'ATP - Keywords'!$C:$C,1,FALSE),"#N/A")</f>
        <v>how to treat dlbcl</v>
      </c>
      <c r="G96" s="5" t="s">
        <v>131</v>
      </c>
      <c r="H96" s="5" t="s">
        <v>340</v>
      </c>
      <c r="I96" s="5" t="s">
        <v>101</v>
      </c>
      <c r="J96" s="5" t="str">
        <f>IFERROR(VLOOKUP(I96,'ATP - Keywords'!$E:$E,1,FALSE),"#N/A")</f>
        <v>https://www.columvi.com/about/treatment-goals-for-3l-dlbcl.html</v>
      </c>
      <c r="K96" s="5" t="str">
        <f t="shared" si="1"/>
        <v>https://www.columvi.com/about/treatment-goals-for-3l-dlbcl.html?c=gft-1890321fc12</v>
      </c>
      <c r="L96" s="5" t="b">
        <v>1</v>
      </c>
      <c r="M96" s="5" t="s">
        <v>5</v>
      </c>
    </row>
    <row r="97" spans="1:13" ht="15.75" customHeight="1" x14ac:dyDescent="0.3">
      <c r="A97" s="5" t="s">
        <v>315</v>
      </c>
      <c r="B97" s="5" t="s">
        <v>317</v>
      </c>
      <c r="C97" s="5" t="s">
        <v>98</v>
      </c>
      <c r="D97" s="2" t="str">
        <f>IFERROR(VLOOKUP(C97,'ATP - Keywords'!$B:$B,1,FALSE),"#N/A")</f>
        <v>Unbranded DLBCL Treatment</v>
      </c>
      <c r="E97" s="5" t="s">
        <v>232</v>
      </c>
      <c r="F97" s="2" t="str">
        <f>IFERROR(VLOOKUP(E97,'ATP - Keywords'!$C:$C,1,FALSE),"#N/A")</f>
        <v>treatments for dlbcl</v>
      </c>
      <c r="G97" s="5" t="s">
        <v>131</v>
      </c>
      <c r="H97" s="5" t="s">
        <v>340</v>
      </c>
      <c r="I97" s="5" t="s">
        <v>101</v>
      </c>
      <c r="J97" s="5" t="str">
        <f>IFERROR(VLOOKUP(I97,'ATP - Keywords'!$E:$E,1,FALSE),"#N/A")</f>
        <v>https://www.columvi.com/about/treatment-goals-for-3l-dlbcl.html</v>
      </c>
      <c r="K97" s="5" t="str">
        <f t="shared" si="1"/>
        <v>https://www.columvi.com/about/treatment-goals-for-3l-dlbcl.html?c=gft-1890321fc12</v>
      </c>
      <c r="L97" s="5" t="b">
        <v>1</v>
      </c>
      <c r="M97" s="5" t="s">
        <v>5</v>
      </c>
    </row>
    <row r="98" spans="1:13" ht="15.75" customHeight="1" x14ac:dyDescent="0.3">
      <c r="A98" s="5" t="s">
        <v>315</v>
      </c>
      <c r="B98" s="5" t="s">
        <v>317</v>
      </c>
      <c r="C98" s="5" t="s">
        <v>98</v>
      </c>
      <c r="D98" s="2" t="str">
        <f>IFERROR(VLOOKUP(C98,'ATP - Keywords'!$B:$B,1,FALSE),"#N/A")</f>
        <v>Unbranded DLBCL Treatment</v>
      </c>
      <c r="E98" s="5" t="s">
        <v>233</v>
      </c>
      <c r="F98" s="2" t="str">
        <f>IFERROR(VLOOKUP(E98,'ATP - Keywords'!$C:$C,1,FALSE),"#N/A")</f>
        <v>treat dlbcl</v>
      </c>
      <c r="G98" s="5" t="s">
        <v>131</v>
      </c>
      <c r="H98" s="5" t="s">
        <v>340</v>
      </c>
      <c r="I98" s="5" t="s">
        <v>101</v>
      </c>
      <c r="J98" s="5" t="str">
        <f>IFERROR(VLOOKUP(I98,'ATP - Keywords'!$E:$E,1,FALSE),"#N/A")</f>
        <v>https://www.columvi.com/about/treatment-goals-for-3l-dlbcl.html</v>
      </c>
      <c r="K98" s="5" t="str">
        <f t="shared" si="1"/>
        <v>https://www.columvi.com/about/treatment-goals-for-3l-dlbcl.html?c=gft-1890321fc12</v>
      </c>
      <c r="L98" s="5" t="b">
        <v>1</v>
      </c>
      <c r="M98" s="5" t="s">
        <v>5</v>
      </c>
    </row>
    <row r="99" spans="1:13" ht="15.75" customHeight="1" x14ac:dyDescent="0.3">
      <c r="A99" s="5" t="s">
        <v>315</v>
      </c>
      <c r="B99" s="5" t="s">
        <v>317</v>
      </c>
      <c r="C99" s="5" t="s">
        <v>98</v>
      </c>
      <c r="D99" s="2" t="str">
        <f>IFERROR(VLOOKUP(C99,'ATP - Keywords'!$B:$B,1,FALSE),"#N/A")</f>
        <v>Unbranded DLBCL Treatment</v>
      </c>
      <c r="E99" s="5" t="s">
        <v>234</v>
      </c>
      <c r="F99" s="2" t="str">
        <f>IFERROR(VLOOKUP(E99,'ATP - Keywords'!$C:$C,1,FALSE),"#N/A")</f>
        <v>diffuse large b cell lymphoma treatment</v>
      </c>
      <c r="G99" s="5" t="s">
        <v>131</v>
      </c>
      <c r="H99" s="5" t="s">
        <v>340</v>
      </c>
      <c r="I99" s="5" t="s">
        <v>101</v>
      </c>
      <c r="J99" s="5" t="str">
        <f>IFERROR(VLOOKUP(I99,'ATP - Keywords'!$E:$E,1,FALSE),"#N/A")</f>
        <v>https://www.columvi.com/about/treatment-goals-for-3l-dlbcl.html</v>
      </c>
      <c r="K99" s="5" t="str">
        <f t="shared" si="1"/>
        <v>https://www.columvi.com/about/treatment-goals-for-3l-dlbcl.html?c=gft-1890321fc12</v>
      </c>
      <c r="L99" s="5" t="b">
        <v>1</v>
      </c>
      <c r="M99" s="5" t="s">
        <v>5</v>
      </c>
    </row>
    <row r="100" spans="1:13" ht="15.75" customHeight="1" x14ac:dyDescent="0.3">
      <c r="A100" s="5" t="s">
        <v>315</v>
      </c>
      <c r="B100" s="5" t="s">
        <v>317</v>
      </c>
      <c r="C100" s="5" t="s">
        <v>98</v>
      </c>
      <c r="D100" s="2" t="str">
        <f>IFERROR(VLOOKUP(C100,'ATP - Keywords'!$B:$B,1,FALSE),"#N/A")</f>
        <v>Unbranded DLBCL Treatment</v>
      </c>
      <c r="E100" s="5" t="s">
        <v>235</v>
      </c>
      <c r="F100" s="2" t="str">
        <f>IFERROR(VLOOKUP(E100,'ATP - Keywords'!$C:$C,1,FALSE),"#N/A")</f>
        <v>treatment for diffuse large b cell lymphoma</v>
      </c>
      <c r="G100" s="5" t="s">
        <v>131</v>
      </c>
      <c r="H100" s="5" t="s">
        <v>340</v>
      </c>
      <c r="I100" s="5" t="s">
        <v>101</v>
      </c>
      <c r="J100" s="5" t="str">
        <f>IFERROR(VLOOKUP(I100,'ATP - Keywords'!$E:$E,1,FALSE),"#N/A")</f>
        <v>https://www.columvi.com/about/treatment-goals-for-3l-dlbcl.html</v>
      </c>
      <c r="K100" s="5" t="str">
        <f t="shared" si="1"/>
        <v>https://www.columvi.com/about/treatment-goals-for-3l-dlbcl.html?c=gft-1890321fc12</v>
      </c>
      <c r="L100" s="5" t="b">
        <v>1</v>
      </c>
      <c r="M100" s="5" t="s">
        <v>5</v>
      </c>
    </row>
    <row r="101" spans="1:13" ht="15.75" customHeight="1" x14ac:dyDescent="0.3">
      <c r="A101" s="5" t="s">
        <v>315</v>
      </c>
      <c r="B101" s="5" t="s">
        <v>317</v>
      </c>
      <c r="C101" s="5" t="s">
        <v>98</v>
      </c>
      <c r="D101" s="2" t="str">
        <f>IFERROR(VLOOKUP(C101,'ATP - Keywords'!$B:$B,1,FALSE),"#N/A")</f>
        <v>Unbranded DLBCL Treatment</v>
      </c>
      <c r="E101" s="5" t="s">
        <v>236</v>
      </c>
      <c r="F101" s="2" t="str">
        <f>IFERROR(VLOOKUP(E101,'ATP - Keywords'!$C:$C,1,FALSE),"#N/A")</f>
        <v>lbcl treatment</v>
      </c>
      <c r="G101" s="5" t="s">
        <v>131</v>
      </c>
      <c r="H101" s="5" t="s">
        <v>340</v>
      </c>
      <c r="I101" s="5" t="s">
        <v>101</v>
      </c>
      <c r="J101" s="5" t="str">
        <f>IFERROR(VLOOKUP(I101,'ATP - Keywords'!$E:$E,1,FALSE),"#N/A")</f>
        <v>https://www.columvi.com/about/treatment-goals-for-3l-dlbcl.html</v>
      </c>
      <c r="K101" s="5" t="str">
        <f t="shared" si="1"/>
        <v>https://www.columvi.com/about/treatment-goals-for-3l-dlbcl.html?c=gft-1890321fc12</v>
      </c>
      <c r="L101" s="5" t="b">
        <v>1</v>
      </c>
      <c r="M101" s="5" t="s">
        <v>5</v>
      </c>
    </row>
    <row r="102" spans="1:13" ht="15.75" customHeight="1" x14ac:dyDescent="0.3">
      <c r="A102" s="5" t="s">
        <v>315</v>
      </c>
      <c r="B102" s="5" t="s">
        <v>317</v>
      </c>
      <c r="C102" s="5" t="s">
        <v>98</v>
      </c>
      <c r="D102" s="2" t="str">
        <f>IFERROR(VLOOKUP(C102,'ATP - Keywords'!$B:$B,1,FALSE),"#N/A")</f>
        <v>Unbranded DLBCL Treatment</v>
      </c>
      <c r="E102" s="5" t="s">
        <v>237</v>
      </c>
      <c r="F102" s="2" t="str">
        <f>IFERROR(VLOOKUP(E102,'ATP - Keywords'!$C:$C,1,FALSE),"#N/A")</f>
        <v>r/r dlbcl treatment</v>
      </c>
      <c r="G102" s="5" t="s">
        <v>131</v>
      </c>
      <c r="H102" s="5" t="s">
        <v>340</v>
      </c>
      <c r="I102" s="5" t="s">
        <v>101</v>
      </c>
      <c r="J102" s="5" t="str">
        <f>IFERROR(VLOOKUP(I102,'ATP - Keywords'!$E:$E,1,FALSE),"#N/A")</f>
        <v>https://www.columvi.com/about/treatment-goals-for-3l-dlbcl.html</v>
      </c>
      <c r="K102" s="5" t="str">
        <f t="shared" si="1"/>
        <v>https://www.columvi.com/about/treatment-goals-for-3l-dlbcl.html?c=gft-1890321fc12</v>
      </c>
      <c r="L102" s="5" t="b">
        <v>1</v>
      </c>
      <c r="M102" s="5" t="s">
        <v>5</v>
      </c>
    </row>
    <row r="103" spans="1:13" ht="15.75" customHeight="1" x14ac:dyDescent="0.3">
      <c r="A103" s="5" t="s">
        <v>315</v>
      </c>
      <c r="B103" s="5" t="s">
        <v>317</v>
      </c>
      <c r="C103" s="5" t="s">
        <v>98</v>
      </c>
      <c r="D103" s="2" t="str">
        <f>IFERROR(VLOOKUP(C103,'ATP - Keywords'!$B:$B,1,FALSE),"#N/A")</f>
        <v>Unbranded DLBCL Treatment</v>
      </c>
      <c r="E103" s="5" t="s">
        <v>238</v>
      </c>
      <c r="F103" s="2" t="str">
        <f>IFERROR(VLOOKUP(E103,'ATP - Keywords'!$C:$C,1,FALSE),"#N/A")</f>
        <v>relapsed or refractory dlbcl treatment option</v>
      </c>
      <c r="G103" s="5" t="s">
        <v>131</v>
      </c>
      <c r="H103" s="5" t="s">
        <v>340</v>
      </c>
      <c r="I103" s="5" t="s">
        <v>101</v>
      </c>
      <c r="J103" s="5" t="str">
        <f>IFERROR(VLOOKUP(I103,'ATP - Keywords'!$E:$E,1,FALSE),"#N/A")</f>
        <v>https://www.columvi.com/about/treatment-goals-for-3l-dlbcl.html</v>
      </c>
      <c r="K103" s="5" t="str">
        <f t="shared" si="1"/>
        <v>https://www.columvi.com/about/treatment-goals-for-3l-dlbcl.html?c=gft-1890321fc12</v>
      </c>
      <c r="L103" s="5" t="b">
        <v>1</v>
      </c>
      <c r="M103" s="5" t="s">
        <v>5</v>
      </c>
    </row>
    <row r="104" spans="1:13" ht="15.75" customHeight="1" x14ac:dyDescent="0.3">
      <c r="A104" s="5" t="s">
        <v>315</v>
      </c>
      <c r="B104" s="5" t="s">
        <v>317</v>
      </c>
      <c r="C104" s="5" t="s">
        <v>98</v>
      </c>
      <c r="D104" s="2" t="str">
        <f>IFERROR(VLOOKUP(C104,'ATP - Keywords'!$B:$B,1,FALSE),"#N/A")</f>
        <v>Unbranded DLBCL Treatment</v>
      </c>
      <c r="E104" s="5" t="s">
        <v>239</v>
      </c>
      <c r="F104" s="2" t="str">
        <f>IFERROR(VLOOKUP(E104,'ATP - Keywords'!$C:$C,1,FALSE),"#N/A")</f>
        <v>treatments for relapsed or refractory dlbcl</v>
      </c>
      <c r="G104" s="5" t="s">
        <v>131</v>
      </c>
      <c r="H104" s="5" t="s">
        <v>340</v>
      </c>
      <c r="I104" s="5" t="s">
        <v>101</v>
      </c>
      <c r="J104" s="5" t="str">
        <f>IFERROR(VLOOKUP(I104,'ATP - Keywords'!$E:$E,1,FALSE),"#N/A")</f>
        <v>https://www.columvi.com/about/treatment-goals-for-3l-dlbcl.html</v>
      </c>
      <c r="K104" s="5" t="str">
        <f t="shared" si="1"/>
        <v>https://www.columvi.com/about/treatment-goals-for-3l-dlbcl.html?c=gft-1890321fc12</v>
      </c>
      <c r="L104" s="5" t="b">
        <v>1</v>
      </c>
      <c r="M104" s="5" t="s">
        <v>5</v>
      </c>
    </row>
    <row r="105" spans="1:13" ht="15.75" customHeight="1" x14ac:dyDescent="0.3">
      <c r="A105" s="5" t="s">
        <v>315</v>
      </c>
      <c r="B105" s="5" t="s">
        <v>317</v>
      </c>
      <c r="C105" s="5" t="s">
        <v>98</v>
      </c>
      <c r="D105" s="2" t="str">
        <f>IFERROR(VLOOKUP(C105,'ATP - Keywords'!$B:$B,1,FALSE),"#N/A")</f>
        <v>Unbranded DLBCL Treatment</v>
      </c>
      <c r="E105" s="5" t="s">
        <v>240</v>
      </c>
      <c r="F105" s="2" t="str">
        <f>IFERROR(VLOOKUP(E105,'ATP - Keywords'!$C:$C,1,FALSE),"#N/A")</f>
        <v>treatment for large b cell lymphoma</v>
      </c>
      <c r="G105" s="5" t="s">
        <v>131</v>
      </c>
      <c r="H105" s="5" t="s">
        <v>340</v>
      </c>
      <c r="I105" s="5" t="s">
        <v>101</v>
      </c>
      <c r="J105" s="5" t="str">
        <f>IFERROR(VLOOKUP(I105,'ATP - Keywords'!$E:$E,1,FALSE),"#N/A")</f>
        <v>https://www.columvi.com/about/treatment-goals-for-3l-dlbcl.html</v>
      </c>
      <c r="K105" s="5" t="str">
        <f t="shared" si="1"/>
        <v>https://www.columvi.com/about/treatment-goals-for-3l-dlbcl.html?c=gft-1890321fc12</v>
      </c>
      <c r="L105" s="5" t="b">
        <v>1</v>
      </c>
      <c r="M105" s="5" t="s">
        <v>5</v>
      </c>
    </row>
    <row r="106" spans="1:13" ht="15.75" customHeight="1" x14ac:dyDescent="0.3">
      <c r="A106" s="5" t="s">
        <v>315</v>
      </c>
      <c r="B106" s="5" t="s">
        <v>317</v>
      </c>
      <c r="C106" s="5" t="s">
        <v>98</v>
      </c>
      <c r="D106" s="2" t="str">
        <f>IFERROR(VLOOKUP(C106,'ATP - Keywords'!$B:$B,1,FALSE),"#N/A")</f>
        <v>Unbranded DLBCL Treatment</v>
      </c>
      <c r="E106" s="5" t="s">
        <v>241</v>
      </c>
      <c r="F106" s="2" t="str">
        <f>IFERROR(VLOOKUP(E106,'ATP - Keywords'!$C:$C,1,FALSE),"#N/A")</f>
        <v>treatment for b cell lymphoma</v>
      </c>
      <c r="G106" s="5" t="s">
        <v>131</v>
      </c>
      <c r="H106" s="5" t="s">
        <v>340</v>
      </c>
      <c r="I106" s="5" t="s">
        <v>101</v>
      </c>
      <c r="J106" s="5" t="str">
        <f>IFERROR(VLOOKUP(I106,'ATP - Keywords'!$E:$E,1,FALSE),"#N/A")</f>
        <v>https://www.columvi.com/about/treatment-goals-for-3l-dlbcl.html</v>
      </c>
      <c r="K106" s="5" t="str">
        <f t="shared" si="1"/>
        <v>https://www.columvi.com/about/treatment-goals-for-3l-dlbcl.html?c=gft-1890321fc12</v>
      </c>
      <c r="L106" s="5" t="b">
        <v>1</v>
      </c>
      <c r="M106" s="5" t="s">
        <v>5</v>
      </c>
    </row>
    <row r="107" spans="1:13" ht="15.75" customHeight="1" x14ac:dyDescent="0.3">
      <c r="A107" s="5" t="s">
        <v>315</v>
      </c>
      <c r="B107" s="5" t="s">
        <v>317</v>
      </c>
      <c r="C107" s="5" t="s">
        <v>98</v>
      </c>
      <c r="D107" s="2" t="str">
        <f>IFERROR(VLOOKUP(C107,'ATP - Keywords'!$B:$B,1,FALSE),"#N/A")</f>
        <v>Unbranded DLBCL Treatment</v>
      </c>
      <c r="E107" s="5" t="s">
        <v>242</v>
      </c>
      <c r="F107" s="2" t="str">
        <f>IFERROR(VLOOKUP(E107,'ATP - Keywords'!$C:$C,1,FALSE),"#N/A")</f>
        <v>latest treatment options for diffuse b cell lymphoma</v>
      </c>
      <c r="G107" s="5" t="s">
        <v>131</v>
      </c>
      <c r="H107" s="5" t="s">
        <v>340</v>
      </c>
      <c r="I107" s="5" t="s">
        <v>101</v>
      </c>
      <c r="J107" s="5" t="str">
        <f>IFERROR(VLOOKUP(I107,'ATP - Keywords'!$E:$E,1,FALSE),"#N/A")</f>
        <v>https://www.columvi.com/about/treatment-goals-for-3l-dlbcl.html</v>
      </c>
      <c r="K107" s="5" t="str">
        <f t="shared" si="1"/>
        <v>https://www.columvi.com/about/treatment-goals-for-3l-dlbcl.html?c=gft-1890321fc12</v>
      </c>
      <c r="L107" s="5" t="b">
        <v>1</v>
      </c>
      <c r="M107" s="5" t="s">
        <v>5</v>
      </c>
    </row>
    <row r="108" spans="1:13" ht="15.75" customHeight="1" x14ac:dyDescent="0.3">
      <c r="A108" s="5" t="s">
        <v>315</v>
      </c>
      <c r="B108" s="5" t="s">
        <v>317</v>
      </c>
      <c r="C108" s="5" t="s">
        <v>98</v>
      </c>
      <c r="D108" s="2" t="str">
        <f>IFERROR(VLOOKUP(C108,'ATP - Keywords'!$B:$B,1,FALSE),"#N/A")</f>
        <v>Unbranded DLBCL Treatment</v>
      </c>
      <c r="E108" s="5" t="s">
        <v>243</v>
      </c>
      <c r="F108" s="2" t="str">
        <f>IFERROR(VLOOKUP(E108,'ATP - Keywords'!$C:$C,1,FALSE),"#N/A")</f>
        <v>treatments in dlbcl</v>
      </c>
      <c r="G108" s="5" t="s">
        <v>131</v>
      </c>
      <c r="H108" s="5" t="s">
        <v>340</v>
      </c>
      <c r="I108" s="5" t="s">
        <v>101</v>
      </c>
      <c r="J108" s="5" t="str">
        <f>IFERROR(VLOOKUP(I108,'ATP - Keywords'!$E:$E,1,FALSE),"#N/A")</f>
        <v>https://www.columvi.com/about/treatment-goals-for-3l-dlbcl.html</v>
      </c>
      <c r="K108" s="5" t="str">
        <f t="shared" si="1"/>
        <v>https://www.columvi.com/about/treatment-goals-for-3l-dlbcl.html?c=gft-1890321fc12</v>
      </c>
      <c r="L108" s="5" t="b">
        <v>1</v>
      </c>
      <c r="M108" s="5" t="s">
        <v>5</v>
      </c>
    </row>
    <row r="109" spans="1:13" ht="15.75" customHeight="1" x14ac:dyDescent="0.3">
      <c r="A109" s="5" t="s">
        <v>315</v>
      </c>
      <c r="B109" s="5" t="s">
        <v>317</v>
      </c>
      <c r="C109" s="5" t="s">
        <v>98</v>
      </c>
      <c r="D109" s="2" t="str">
        <f>IFERROR(VLOOKUP(C109,'ATP - Keywords'!$B:$B,1,FALSE),"#N/A")</f>
        <v>Unbranded DLBCL Treatment</v>
      </c>
      <c r="E109" s="5" t="s">
        <v>244</v>
      </c>
      <c r="F109" s="2" t="str">
        <f>IFERROR(VLOOKUP(E109,'ATP - Keywords'!$C:$C,1,FALSE),"#N/A")</f>
        <v>dlbcl treatments</v>
      </c>
      <c r="G109" s="5" t="s">
        <v>131</v>
      </c>
      <c r="H109" s="5" t="s">
        <v>340</v>
      </c>
      <c r="I109" s="5" t="s">
        <v>101</v>
      </c>
      <c r="J109" s="5" t="str">
        <f>IFERROR(VLOOKUP(I109,'ATP - Keywords'!$E:$E,1,FALSE),"#N/A")</f>
        <v>https://www.columvi.com/about/treatment-goals-for-3l-dlbcl.html</v>
      </c>
      <c r="K109" s="5" t="str">
        <f t="shared" si="1"/>
        <v>https://www.columvi.com/about/treatment-goals-for-3l-dlbcl.html?c=gft-1890321fc12</v>
      </c>
      <c r="L109" s="5" t="b">
        <v>1</v>
      </c>
      <c r="M109" s="5" t="s">
        <v>5</v>
      </c>
    </row>
    <row r="110" spans="1:13" ht="15.75" customHeight="1" x14ac:dyDescent="0.3">
      <c r="A110" s="5" t="s">
        <v>315</v>
      </c>
      <c r="B110" s="5" t="s">
        <v>317</v>
      </c>
      <c r="C110" s="5" t="s">
        <v>98</v>
      </c>
      <c r="D110" s="2" t="str">
        <f>IFERROR(VLOOKUP(C110,'ATP - Keywords'!$B:$B,1,FALSE),"#N/A")</f>
        <v>Unbranded DLBCL Treatment</v>
      </c>
      <c r="E110" s="5" t="s">
        <v>245</v>
      </c>
      <c r="F110" s="2" t="str">
        <f>IFERROR(VLOOKUP(E110,'ATP - Keywords'!$C:$C,1,FALSE),"#N/A")</f>
        <v>treatments in diffuse large b cell lymphoma</v>
      </c>
      <c r="G110" s="5" t="s">
        <v>131</v>
      </c>
      <c r="H110" s="5" t="s">
        <v>340</v>
      </c>
      <c r="I110" s="5" t="s">
        <v>101</v>
      </c>
      <c r="J110" s="5" t="str">
        <f>IFERROR(VLOOKUP(I110,'ATP - Keywords'!$E:$E,1,FALSE),"#N/A")</f>
        <v>https://www.columvi.com/about/treatment-goals-for-3l-dlbcl.html</v>
      </c>
      <c r="K110" s="5" t="str">
        <f t="shared" si="1"/>
        <v>https://www.columvi.com/about/treatment-goals-for-3l-dlbcl.html?c=gft-1890321fc12</v>
      </c>
      <c r="L110" s="5" t="b">
        <v>1</v>
      </c>
      <c r="M110" s="5" t="s">
        <v>5</v>
      </c>
    </row>
    <row r="111" spans="1:13" ht="15.75" customHeight="1" x14ac:dyDescent="0.3">
      <c r="A111" s="5" t="s">
        <v>315</v>
      </c>
      <c r="B111" s="5" t="s">
        <v>317</v>
      </c>
      <c r="C111" s="5" t="s">
        <v>98</v>
      </c>
      <c r="D111" s="2" t="str">
        <f>IFERROR(VLOOKUP(C111,'ATP - Keywords'!$B:$B,1,FALSE),"#N/A")</f>
        <v>Unbranded DLBCL Treatment</v>
      </c>
      <c r="E111" s="5" t="s">
        <v>246</v>
      </c>
      <c r="F111" s="2" t="str">
        <f>IFERROR(VLOOKUP(E111,'ATP - Keywords'!$C:$C,1,FALSE),"#N/A")</f>
        <v>large b cell lymphoma drug</v>
      </c>
      <c r="G111" s="5" t="s">
        <v>131</v>
      </c>
      <c r="H111" s="5" t="s">
        <v>340</v>
      </c>
      <c r="I111" s="5" t="s">
        <v>101</v>
      </c>
      <c r="J111" s="5" t="str">
        <f>IFERROR(VLOOKUP(I111,'ATP - Keywords'!$E:$E,1,FALSE),"#N/A")</f>
        <v>https://www.columvi.com/about/treatment-goals-for-3l-dlbcl.html</v>
      </c>
      <c r="K111" s="5" t="str">
        <f t="shared" si="1"/>
        <v>https://www.columvi.com/about/treatment-goals-for-3l-dlbcl.html?c=gft-1890321fc12</v>
      </c>
      <c r="L111" s="5" t="b">
        <v>1</v>
      </c>
      <c r="M111" s="5" t="s">
        <v>5</v>
      </c>
    </row>
    <row r="112" spans="1:13" ht="15.75" customHeight="1" x14ac:dyDescent="0.3">
      <c r="A112" s="5" t="s">
        <v>315</v>
      </c>
      <c r="B112" s="5" t="s">
        <v>317</v>
      </c>
      <c r="C112" s="5" t="s">
        <v>98</v>
      </c>
      <c r="D112" s="2" t="str">
        <f>IFERROR(VLOOKUP(C112,'ATP - Keywords'!$B:$B,1,FALSE),"#N/A")</f>
        <v>Unbranded DLBCL Treatment</v>
      </c>
      <c r="E112" s="5" t="s">
        <v>247</v>
      </c>
      <c r="F112" s="2" t="str">
        <f>IFERROR(VLOOKUP(E112,'ATP - Keywords'!$C:$C,1,FALSE),"#N/A")</f>
        <v>relapsed refractory large b cell lymphoma drug</v>
      </c>
      <c r="G112" s="5" t="s">
        <v>131</v>
      </c>
      <c r="H112" s="5" t="s">
        <v>340</v>
      </c>
      <c r="I112" s="5" t="s">
        <v>101</v>
      </c>
      <c r="J112" s="5" t="str">
        <f>IFERROR(VLOOKUP(I112,'ATP - Keywords'!$E:$E,1,FALSE),"#N/A")</f>
        <v>https://www.columvi.com/about/treatment-goals-for-3l-dlbcl.html</v>
      </c>
      <c r="K112" s="5" t="str">
        <f t="shared" si="1"/>
        <v>https://www.columvi.com/about/treatment-goals-for-3l-dlbcl.html?c=gft-1890321fc12</v>
      </c>
      <c r="L112" s="5" t="b">
        <v>1</v>
      </c>
      <c r="M112" s="5" t="s">
        <v>5</v>
      </c>
    </row>
    <row r="113" spans="1:13" ht="15.75" customHeight="1" x14ac:dyDescent="0.3">
      <c r="A113" s="5" t="s">
        <v>315</v>
      </c>
      <c r="B113" s="5" t="s">
        <v>317</v>
      </c>
      <c r="C113" s="5" t="s">
        <v>98</v>
      </c>
      <c r="D113" s="2" t="str">
        <f>IFERROR(VLOOKUP(C113,'ATP - Keywords'!$B:$B,1,FALSE),"#N/A")</f>
        <v>Unbranded DLBCL Treatment</v>
      </c>
      <c r="E113" s="5" t="s">
        <v>248</v>
      </c>
      <c r="F113" s="2" t="str">
        <f>IFERROR(VLOOKUP(E113,'ATP - Keywords'!$C:$C,1,FALSE),"#N/A")</f>
        <v>non-hodgkin's treatment</v>
      </c>
      <c r="G113" s="5" t="s">
        <v>131</v>
      </c>
      <c r="H113" s="5" t="s">
        <v>340</v>
      </c>
      <c r="I113" s="5" t="s">
        <v>101</v>
      </c>
      <c r="J113" s="5" t="str">
        <f>IFERROR(VLOOKUP(I113,'ATP - Keywords'!$E:$E,1,FALSE),"#N/A")</f>
        <v>https://www.columvi.com/about/treatment-goals-for-3l-dlbcl.html</v>
      </c>
      <c r="K113" s="5" t="str">
        <f t="shared" si="1"/>
        <v>https://www.columvi.com/about/treatment-goals-for-3l-dlbcl.html?c=gft-1890321fc12</v>
      </c>
      <c r="L113" s="5" t="b">
        <v>1</v>
      </c>
      <c r="M113" s="5" t="s">
        <v>5</v>
      </c>
    </row>
    <row r="114" spans="1:13" ht="15.75" customHeight="1" x14ac:dyDescent="0.3">
      <c r="A114" s="5" t="s">
        <v>315</v>
      </c>
      <c r="B114" s="5" t="s">
        <v>317</v>
      </c>
      <c r="C114" s="5" t="s">
        <v>98</v>
      </c>
      <c r="D114" s="2" t="str">
        <f>IFERROR(VLOOKUP(C114,'ATP - Keywords'!$B:$B,1,FALSE),"#N/A")</f>
        <v>Unbranded DLBCL Treatment</v>
      </c>
      <c r="E114" s="5" t="s">
        <v>249</v>
      </c>
      <c r="F114" s="2" t="str">
        <f>IFERROR(VLOOKUP(E114,'ATP - Keywords'!$C:$C,1,FALSE),"#N/A")</f>
        <v>non-hodgkin's lymphoma treatment</v>
      </c>
      <c r="G114" s="5" t="s">
        <v>131</v>
      </c>
      <c r="H114" s="5" t="s">
        <v>340</v>
      </c>
      <c r="I114" s="5" t="s">
        <v>101</v>
      </c>
      <c r="J114" s="5" t="str">
        <f>IFERROR(VLOOKUP(I114,'ATP - Keywords'!$E:$E,1,FALSE),"#N/A")</f>
        <v>https://www.columvi.com/about/treatment-goals-for-3l-dlbcl.html</v>
      </c>
      <c r="K114" s="5" t="str">
        <f t="shared" si="1"/>
        <v>https://www.columvi.com/about/treatment-goals-for-3l-dlbcl.html?c=gft-1890321fc12</v>
      </c>
      <c r="L114" s="5" t="b">
        <v>1</v>
      </c>
      <c r="M114" s="5" t="s">
        <v>5</v>
      </c>
    </row>
    <row r="115" spans="1:13" ht="15.75" customHeight="1" x14ac:dyDescent="0.3">
      <c r="A115" s="5" t="s">
        <v>315</v>
      </c>
      <c r="B115" s="5" t="s">
        <v>317</v>
      </c>
      <c r="C115" s="5" t="s">
        <v>98</v>
      </c>
      <c r="D115" s="2" t="str">
        <f>IFERROR(VLOOKUP(C115,'ATP - Keywords'!$B:$B,1,FALSE),"#N/A")</f>
        <v>Unbranded DLBCL Treatment</v>
      </c>
      <c r="E115" s="5" t="s">
        <v>250</v>
      </c>
      <c r="F115" s="2" t="str">
        <f>IFERROR(VLOOKUP(E115,'ATP - Keywords'!$C:$C,1,FALSE),"#N/A")</f>
        <v>treatment for non-hodgkin's disease</v>
      </c>
      <c r="G115" s="5" t="s">
        <v>131</v>
      </c>
      <c r="H115" s="5" t="s">
        <v>340</v>
      </c>
      <c r="I115" s="5" t="s">
        <v>101</v>
      </c>
      <c r="J115" s="5" t="str">
        <f>IFERROR(VLOOKUP(I115,'ATP - Keywords'!$E:$E,1,FALSE),"#N/A")</f>
        <v>https://www.columvi.com/about/treatment-goals-for-3l-dlbcl.html</v>
      </c>
      <c r="K115" s="5" t="str">
        <f t="shared" si="1"/>
        <v>https://www.columvi.com/about/treatment-goals-for-3l-dlbcl.html?c=gft-1890321fc12</v>
      </c>
      <c r="L115" s="5" t="b">
        <v>1</v>
      </c>
      <c r="M115" s="5" t="s">
        <v>5</v>
      </c>
    </row>
    <row r="116" spans="1:13" ht="15.75" customHeight="1" x14ac:dyDescent="0.3">
      <c r="A116" s="5" t="s">
        <v>315</v>
      </c>
      <c r="B116" s="5" t="s">
        <v>317</v>
      </c>
      <c r="C116" s="5" t="s">
        <v>98</v>
      </c>
      <c r="D116" s="2" t="str">
        <f>IFERROR(VLOOKUP(C116,'ATP - Keywords'!$B:$B,1,FALSE),"#N/A")</f>
        <v>Unbranded DLBCL Treatment</v>
      </c>
      <c r="E116" s="5" t="s">
        <v>251</v>
      </c>
      <c r="F116" s="2" t="str">
        <f>IFERROR(VLOOKUP(E116,'ATP - Keywords'!$C:$C,1,FALSE),"#N/A")</f>
        <v>dlbcl starting treatment</v>
      </c>
      <c r="G116" s="5" t="s">
        <v>131</v>
      </c>
      <c r="H116" s="5" t="s">
        <v>340</v>
      </c>
      <c r="I116" s="5" t="s">
        <v>101</v>
      </c>
      <c r="J116" s="5" t="str">
        <f>IFERROR(VLOOKUP(I116,'ATP - Keywords'!$E:$E,1,FALSE),"#N/A")</f>
        <v>https://www.columvi.com/about/treatment-goals-for-3l-dlbcl.html</v>
      </c>
      <c r="K116" s="5" t="str">
        <f t="shared" si="1"/>
        <v>https://www.columvi.com/about/treatment-goals-for-3l-dlbcl.html?c=gft-1890321fc12</v>
      </c>
      <c r="L116" s="5" t="b">
        <v>1</v>
      </c>
      <c r="M116" s="5" t="s">
        <v>5</v>
      </c>
    </row>
    <row r="117" spans="1:13" ht="15.75" customHeight="1" x14ac:dyDescent="0.3">
      <c r="A117" s="5" t="s">
        <v>315</v>
      </c>
      <c r="B117" s="5" t="s">
        <v>318</v>
      </c>
      <c r="C117" s="5" t="s">
        <v>103</v>
      </c>
      <c r="D117" s="2" t="str">
        <f>IFERROR(VLOOKUP(C117,'ATP - Keywords'!$B:$B,1,FALSE),"#N/A")</f>
        <v>Unbranded DLBCL Medication</v>
      </c>
      <c r="E117" s="5" t="s">
        <v>252</v>
      </c>
      <c r="F117" s="2" t="str">
        <f>IFERROR(VLOOKUP(E117,'ATP - Keywords'!$C:$C,1,FALSE),"#N/A")</f>
        <v>medication for large b cell lymphoma</v>
      </c>
      <c r="G117" s="5" t="s">
        <v>131</v>
      </c>
      <c r="H117" s="5" t="s">
        <v>341</v>
      </c>
      <c r="I117" s="5" t="s">
        <v>107</v>
      </c>
      <c r="J117" s="5" t="str">
        <f>IFERROR(VLOOKUP(I117,'ATP - Keywords'!$E:$E,1,FALSE),"#N/A")</f>
        <v>https://www.columvi.com/starting-columvi/how-columvi-is-given.html</v>
      </c>
      <c r="K117" s="5" t="str">
        <f t="shared" si="1"/>
        <v>https://www.columvi.com/starting-columvi/how-columvi-is-given.html?c=gft-1890321fc12</v>
      </c>
      <c r="L117" s="5" t="b">
        <v>1</v>
      </c>
      <c r="M117" s="5" t="s">
        <v>5</v>
      </c>
    </row>
    <row r="118" spans="1:13" ht="15.75" customHeight="1" x14ac:dyDescent="0.3">
      <c r="A118" s="5" t="s">
        <v>315</v>
      </c>
      <c r="B118" s="5" t="s">
        <v>318</v>
      </c>
      <c r="C118" s="5" t="s">
        <v>103</v>
      </c>
      <c r="D118" s="2" t="str">
        <f>IFERROR(VLOOKUP(C118,'ATP - Keywords'!$B:$B,1,FALSE),"#N/A")</f>
        <v>Unbranded DLBCL Medication</v>
      </c>
      <c r="E118" s="5" t="s">
        <v>254</v>
      </c>
      <c r="F118" s="2" t="str">
        <f>IFERROR(VLOOKUP(E118,'ATP - Keywords'!$C:$C,1,FALSE),"#N/A")</f>
        <v>medication for dlbcl</v>
      </c>
      <c r="G118" s="5" t="s">
        <v>131</v>
      </c>
      <c r="H118" s="5" t="s">
        <v>341</v>
      </c>
      <c r="I118" s="5" t="s">
        <v>107</v>
      </c>
      <c r="J118" s="5" t="str">
        <f>IFERROR(VLOOKUP(I118,'ATP - Keywords'!$E:$E,1,FALSE),"#N/A")</f>
        <v>https://www.columvi.com/starting-columvi/how-columvi-is-given.html</v>
      </c>
      <c r="K118" s="5" t="str">
        <f t="shared" si="1"/>
        <v>https://www.columvi.com/starting-columvi/how-columvi-is-given.html?c=gft-1890321fc12</v>
      </c>
      <c r="L118" s="5" t="b">
        <v>1</v>
      </c>
      <c r="M118" s="5" t="s">
        <v>5</v>
      </c>
    </row>
    <row r="119" spans="1:13" ht="15.75" customHeight="1" x14ac:dyDescent="0.3">
      <c r="A119" s="5" t="s">
        <v>315</v>
      </c>
      <c r="B119" s="5" t="s">
        <v>318</v>
      </c>
      <c r="C119" s="5" t="s">
        <v>103</v>
      </c>
      <c r="D119" s="2" t="str">
        <f>IFERROR(VLOOKUP(C119,'ATP - Keywords'!$B:$B,1,FALSE),"#N/A")</f>
        <v>Unbranded DLBCL Medication</v>
      </c>
      <c r="E119" s="5" t="s">
        <v>255</v>
      </c>
      <c r="F119" s="2" t="str">
        <f>IFERROR(VLOOKUP(E119,'ATP - Keywords'!$C:$C,1,FALSE),"#N/A")</f>
        <v>dlbcl medication</v>
      </c>
      <c r="G119" s="5" t="s">
        <v>131</v>
      </c>
      <c r="H119" s="5" t="s">
        <v>341</v>
      </c>
      <c r="I119" s="5" t="s">
        <v>107</v>
      </c>
      <c r="J119" s="5" t="str">
        <f>IFERROR(VLOOKUP(I119,'ATP - Keywords'!$E:$E,1,FALSE),"#N/A")</f>
        <v>https://www.columvi.com/starting-columvi/how-columvi-is-given.html</v>
      </c>
      <c r="K119" s="5" t="str">
        <f t="shared" si="1"/>
        <v>https://www.columvi.com/starting-columvi/how-columvi-is-given.html?c=gft-1890321fc12</v>
      </c>
      <c r="L119" s="5" t="b">
        <v>1</v>
      </c>
      <c r="M119" s="5" t="s">
        <v>5</v>
      </c>
    </row>
    <row r="120" spans="1:13" ht="15.75" customHeight="1" x14ac:dyDescent="0.3">
      <c r="A120" s="5" t="s">
        <v>315</v>
      </c>
      <c r="B120" s="5" t="s">
        <v>318</v>
      </c>
      <c r="C120" s="5" t="s">
        <v>103</v>
      </c>
      <c r="D120" s="2" t="str">
        <f>IFERROR(VLOOKUP(C120,'ATP - Keywords'!$B:$B,1,FALSE),"#N/A")</f>
        <v>Unbranded DLBCL Medication</v>
      </c>
      <c r="E120" s="5" t="s">
        <v>256</v>
      </c>
      <c r="F120" s="2" t="str">
        <f>IFERROR(VLOOKUP(E120,'ATP - Keywords'!$C:$C,1,FALSE),"#N/A")</f>
        <v>diffuse large b cell lymphoma medication</v>
      </c>
      <c r="G120" s="5" t="s">
        <v>131</v>
      </c>
      <c r="H120" s="5" t="s">
        <v>341</v>
      </c>
      <c r="I120" s="5" t="s">
        <v>107</v>
      </c>
      <c r="J120" s="5" t="str">
        <f>IFERROR(VLOOKUP(I120,'ATP - Keywords'!$E:$E,1,FALSE),"#N/A")</f>
        <v>https://www.columvi.com/starting-columvi/how-columvi-is-given.html</v>
      </c>
      <c r="K120" s="5" t="str">
        <f t="shared" si="1"/>
        <v>https://www.columvi.com/starting-columvi/how-columvi-is-given.html?c=gft-1890321fc12</v>
      </c>
      <c r="L120" s="5" t="b">
        <v>1</v>
      </c>
      <c r="M120" s="5" t="s">
        <v>5</v>
      </c>
    </row>
    <row r="121" spans="1:13" ht="15.75" customHeight="1" x14ac:dyDescent="0.3">
      <c r="A121" s="5" t="s">
        <v>315</v>
      </c>
      <c r="B121" s="5" t="s">
        <v>318</v>
      </c>
      <c r="C121" s="5" t="s">
        <v>103</v>
      </c>
      <c r="D121" s="2" t="str">
        <f>IFERROR(VLOOKUP(C121,'ATP - Keywords'!$B:$B,1,FALSE),"#N/A")</f>
        <v>Unbranded DLBCL Medication</v>
      </c>
      <c r="E121" s="5" t="s">
        <v>257</v>
      </c>
      <c r="F121" s="2" t="str">
        <f>IFERROR(VLOOKUP(E121,'ATP - Keywords'!$C:$C,1,FALSE),"#N/A")</f>
        <v>medication options for dlbcl</v>
      </c>
      <c r="G121" s="5" t="s">
        <v>131</v>
      </c>
      <c r="H121" s="5" t="s">
        <v>341</v>
      </c>
      <c r="I121" s="5" t="s">
        <v>107</v>
      </c>
      <c r="J121" s="5" t="str">
        <f>IFERROR(VLOOKUP(I121,'ATP - Keywords'!$E:$E,1,FALSE),"#N/A")</f>
        <v>https://www.columvi.com/starting-columvi/how-columvi-is-given.html</v>
      </c>
      <c r="K121" s="5" t="str">
        <f t="shared" si="1"/>
        <v>https://www.columvi.com/starting-columvi/how-columvi-is-given.html?c=gft-1890321fc12</v>
      </c>
      <c r="L121" s="5" t="b">
        <v>1</v>
      </c>
      <c r="M121" s="5" t="s">
        <v>5</v>
      </c>
    </row>
    <row r="122" spans="1:13" ht="15.75" customHeight="1" x14ac:dyDescent="0.3">
      <c r="A122" s="5" t="s">
        <v>315</v>
      </c>
      <c r="B122" s="5" t="s">
        <v>318</v>
      </c>
      <c r="C122" s="5" t="s">
        <v>103</v>
      </c>
      <c r="D122" s="2" t="str">
        <f>IFERROR(VLOOKUP(C122,'ATP - Keywords'!$B:$B,1,FALSE),"#N/A")</f>
        <v>Unbranded DLBCL Medication</v>
      </c>
      <c r="E122" s="5" t="s">
        <v>258</v>
      </c>
      <c r="F122" s="2" t="str">
        <f>IFERROR(VLOOKUP(E122,'ATP - Keywords'!$C:$C,1,FALSE),"#N/A")</f>
        <v>relapsed or refractory dlbcl medication</v>
      </c>
      <c r="G122" s="5" t="s">
        <v>131</v>
      </c>
      <c r="H122" s="5" t="s">
        <v>341</v>
      </c>
      <c r="I122" s="5" t="s">
        <v>107</v>
      </c>
      <c r="J122" s="5" t="str">
        <f>IFERROR(VLOOKUP(I122,'ATP - Keywords'!$E:$E,1,FALSE),"#N/A")</f>
        <v>https://www.columvi.com/starting-columvi/how-columvi-is-given.html</v>
      </c>
      <c r="K122" s="5" t="str">
        <f t="shared" si="1"/>
        <v>https://www.columvi.com/starting-columvi/how-columvi-is-given.html?c=gft-1890321fc12</v>
      </c>
      <c r="L122" s="5" t="b">
        <v>1</v>
      </c>
      <c r="M122" s="5" t="s">
        <v>5</v>
      </c>
    </row>
    <row r="123" spans="1:13" ht="15.75" customHeight="1" x14ac:dyDescent="0.3">
      <c r="A123" s="5" t="s">
        <v>315</v>
      </c>
      <c r="B123" s="5" t="s">
        <v>319</v>
      </c>
      <c r="C123" s="5" t="s">
        <v>109</v>
      </c>
      <c r="D123" s="2" t="str">
        <f>IFERROR(VLOOKUP(C123,'ATP - Keywords'!$B:$B,1,FALSE),"#N/A")</f>
        <v>Unbranded DLBCL Therapy</v>
      </c>
      <c r="E123" s="5" t="s">
        <v>259</v>
      </c>
      <c r="F123" s="2" t="str">
        <f>IFERROR(VLOOKUP(E123,'ATP - Keywords'!$C:$C,1,FALSE),"#N/A")</f>
        <v>therapy for dlbcl</v>
      </c>
      <c r="G123" s="5" t="s">
        <v>131</v>
      </c>
      <c r="H123" s="5" t="s">
        <v>341</v>
      </c>
      <c r="I123" s="5" t="s">
        <v>107</v>
      </c>
      <c r="J123" s="5" t="str">
        <f>IFERROR(VLOOKUP(I123,'ATP - Keywords'!$E:$E,1,FALSE),"#N/A")</f>
        <v>https://www.columvi.com/starting-columvi/how-columvi-is-given.html</v>
      </c>
      <c r="K123" s="5" t="str">
        <f t="shared" si="1"/>
        <v>https://www.columvi.com/starting-columvi/how-columvi-is-given.html?c=gft-1890321fc12</v>
      </c>
      <c r="L123" s="5" t="b">
        <v>1</v>
      </c>
      <c r="M123" s="5" t="s">
        <v>5</v>
      </c>
    </row>
    <row r="124" spans="1:13" ht="15.75" customHeight="1" x14ac:dyDescent="0.3">
      <c r="A124" s="5" t="s">
        <v>315</v>
      </c>
      <c r="B124" s="5" t="s">
        <v>319</v>
      </c>
      <c r="C124" s="5" t="s">
        <v>109</v>
      </c>
      <c r="D124" s="2" t="str">
        <f>IFERROR(VLOOKUP(C124,'ATP - Keywords'!$B:$B,1,FALSE),"#N/A")</f>
        <v>Unbranded DLBCL Therapy</v>
      </c>
      <c r="E124" s="5" t="s">
        <v>260</v>
      </c>
      <c r="F124" s="2" t="str">
        <f>IFERROR(VLOOKUP(E124,'ATP - Keywords'!$C:$C,1,FALSE),"#N/A")</f>
        <v>therapy for large b cell lymphoma</v>
      </c>
      <c r="G124" s="5" t="s">
        <v>131</v>
      </c>
      <c r="H124" s="5" t="s">
        <v>341</v>
      </c>
      <c r="I124" s="5" t="s">
        <v>107</v>
      </c>
      <c r="J124" s="5" t="str">
        <f>IFERROR(VLOOKUP(I124,'ATP - Keywords'!$E:$E,1,FALSE),"#N/A")</f>
        <v>https://www.columvi.com/starting-columvi/how-columvi-is-given.html</v>
      </c>
      <c r="K124" s="5" t="str">
        <f t="shared" si="1"/>
        <v>https://www.columvi.com/starting-columvi/how-columvi-is-given.html?c=gft-1890321fc12</v>
      </c>
      <c r="L124" s="5" t="b">
        <v>1</v>
      </c>
      <c r="M124" s="5" t="s">
        <v>5</v>
      </c>
    </row>
    <row r="125" spans="1:13" ht="15.75" customHeight="1" x14ac:dyDescent="0.3">
      <c r="A125" s="5" t="s">
        <v>315</v>
      </c>
      <c r="B125" s="5" t="s">
        <v>319</v>
      </c>
      <c r="C125" s="5" t="s">
        <v>109</v>
      </c>
      <c r="D125" s="2" t="str">
        <f>IFERROR(VLOOKUP(C125,'ATP - Keywords'!$B:$B,1,FALSE),"#N/A")</f>
        <v>Unbranded DLBCL Therapy</v>
      </c>
      <c r="E125" s="5" t="s">
        <v>261</v>
      </c>
      <c r="F125" s="2" t="str">
        <f>IFERROR(VLOOKUP(E125,'ATP - Keywords'!$C:$C,1,FALSE),"#N/A")</f>
        <v>therapy for relapsed refractory large b cell lymphoma</v>
      </c>
      <c r="G125" s="5" t="s">
        <v>131</v>
      </c>
      <c r="H125" s="5" t="s">
        <v>341</v>
      </c>
      <c r="I125" s="5" t="s">
        <v>107</v>
      </c>
      <c r="J125" s="5" t="str">
        <f>IFERROR(VLOOKUP(I125,'ATP - Keywords'!$E:$E,1,FALSE),"#N/A")</f>
        <v>https://www.columvi.com/starting-columvi/how-columvi-is-given.html</v>
      </c>
      <c r="K125" s="5" t="str">
        <f t="shared" si="1"/>
        <v>https://www.columvi.com/starting-columvi/how-columvi-is-given.html?c=gft-1890321fc12</v>
      </c>
      <c r="L125" s="5" t="b">
        <v>1</v>
      </c>
      <c r="M125" s="5" t="s">
        <v>5</v>
      </c>
    </row>
    <row r="126" spans="1:13" ht="15.75" customHeight="1" x14ac:dyDescent="0.3">
      <c r="A126" s="5" t="s">
        <v>315</v>
      </c>
      <c r="B126" s="5" t="s">
        <v>319</v>
      </c>
      <c r="C126" s="5" t="s">
        <v>109</v>
      </c>
      <c r="D126" s="2" t="str">
        <f>IFERROR(VLOOKUP(C126,'ATP - Keywords'!$B:$B,1,FALSE),"#N/A")</f>
        <v>Unbranded DLBCL Therapy</v>
      </c>
      <c r="E126" s="5" t="s">
        <v>262</v>
      </c>
      <c r="F126" s="2" t="str">
        <f>IFERROR(VLOOKUP(E126,'ATP - Keywords'!$C:$C,1,FALSE),"#N/A")</f>
        <v>latest therapies for dlbcl</v>
      </c>
      <c r="G126" s="5" t="s">
        <v>131</v>
      </c>
      <c r="H126" s="5" t="s">
        <v>341</v>
      </c>
      <c r="I126" s="5" t="s">
        <v>107</v>
      </c>
      <c r="J126" s="5" t="str">
        <f>IFERROR(VLOOKUP(I126,'ATP - Keywords'!$E:$E,1,FALSE),"#N/A")</f>
        <v>https://www.columvi.com/starting-columvi/how-columvi-is-given.html</v>
      </c>
      <c r="K126" s="5" t="str">
        <f t="shared" si="1"/>
        <v>https://www.columvi.com/starting-columvi/how-columvi-is-given.html?c=gft-1890321fc12</v>
      </c>
      <c r="L126" s="5" t="b">
        <v>1</v>
      </c>
      <c r="M126" s="5" t="s">
        <v>5</v>
      </c>
    </row>
    <row r="127" spans="1:13" ht="15.75" customHeight="1" x14ac:dyDescent="0.3">
      <c r="A127" s="5" t="s">
        <v>315</v>
      </c>
      <c r="B127" s="5" t="s">
        <v>319</v>
      </c>
      <c r="C127" s="5" t="s">
        <v>109</v>
      </c>
      <c r="D127" s="2" t="str">
        <f>IFERROR(VLOOKUP(C127,'ATP - Keywords'!$B:$B,1,FALSE),"#N/A")</f>
        <v>Unbranded DLBCL Therapy</v>
      </c>
      <c r="E127" s="5" t="s">
        <v>263</v>
      </c>
      <c r="F127" s="2" t="str">
        <f>IFERROR(VLOOKUP(E127,'ATP - Keywords'!$C:$C,1,FALSE),"#N/A")</f>
        <v>latest therapy for diffuse large b cell lymphoma</v>
      </c>
      <c r="G127" s="5" t="s">
        <v>131</v>
      </c>
      <c r="H127" s="5" t="s">
        <v>341</v>
      </c>
      <c r="I127" s="5" t="s">
        <v>107</v>
      </c>
      <c r="J127" s="5" t="str">
        <f>IFERROR(VLOOKUP(I127,'ATP - Keywords'!$E:$E,1,FALSE),"#N/A")</f>
        <v>https://www.columvi.com/starting-columvi/how-columvi-is-given.html</v>
      </c>
      <c r="K127" s="5" t="str">
        <f t="shared" si="1"/>
        <v>https://www.columvi.com/starting-columvi/how-columvi-is-given.html?c=gft-1890321fc12</v>
      </c>
      <c r="L127" s="5" t="b">
        <v>1</v>
      </c>
      <c r="M127" s="5" t="s">
        <v>5</v>
      </c>
    </row>
    <row r="128" spans="1:13" ht="15.75" customHeight="1" x14ac:dyDescent="0.3">
      <c r="A128" s="5" t="s">
        <v>315</v>
      </c>
      <c r="B128" s="5" t="s">
        <v>320</v>
      </c>
      <c r="C128" s="5" t="s">
        <v>113</v>
      </c>
      <c r="D128" s="2" t="str">
        <f>IFERROR(VLOOKUP(C128,'ATP - Keywords'!$B:$B,1,FALSE),"#N/A")</f>
        <v>Unbranded DLBCL Dosing</v>
      </c>
      <c r="E128" s="5" t="s">
        <v>264</v>
      </c>
      <c r="F128" s="2" t="str">
        <f>IFERROR(VLOOKUP(E128,'ATP - Keywords'!$C:$C,1,FALSE),"#N/A")</f>
        <v>dlbcl infusion</v>
      </c>
      <c r="G128" s="5" t="s">
        <v>131</v>
      </c>
      <c r="H128" s="5" t="s">
        <v>341</v>
      </c>
      <c r="I128" s="5" t="s">
        <v>107</v>
      </c>
      <c r="J128" s="5" t="str">
        <f>IFERROR(VLOOKUP(I128,'ATP - Keywords'!$E:$E,1,FALSE),"#N/A")</f>
        <v>https://www.columvi.com/starting-columvi/how-columvi-is-given.html</v>
      </c>
      <c r="K128" s="5" t="str">
        <f t="shared" si="1"/>
        <v>https://www.columvi.com/starting-columvi/how-columvi-is-given.html?c=gft-1890321fc12</v>
      </c>
      <c r="L128" s="5" t="b">
        <v>1</v>
      </c>
      <c r="M128" s="5" t="s">
        <v>5</v>
      </c>
    </row>
    <row r="129" spans="1:13" ht="15.75" customHeight="1" x14ac:dyDescent="0.3">
      <c r="A129" s="5" t="s">
        <v>315</v>
      </c>
      <c r="B129" s="5" t="s">
        <v>320</v>
      </c>
      <c r="C129" s="5" t="s">
        <v>113</v>
      </c>
      <c r="D129" s="2" t="str">
        <f>IFERROR(VLOOKUP(C129,'ATP - Keywords'!$B:$B,1,FALSE),"#N/A")</f>
        <v>Unbranded DLBCL Dosing</v>
      </c>
      <c r="E129" s="5" t="s">
        <v>508</v>
      </c>
      <c r="F129" s="229" t="str">
        <f>IFERROR(VLOOKUP(E129,'ATP - Keywords'!$C:$C,1,FALSE),"#N/A")</f>
        <v>#N/A</v>
      </c>
      <c r="G129" s="5" t="s">
        <v>131</v>
      </c>
      <c r="H129" s="5" t="s">
        <v>341</v>
      </c>
      <c r="I129" s="5" t="s">
        <v>107</v>
      </c>
      <c r="J129" s="5" t="str">
        <f>IFERROR(VLOOKUP(I129,'ATP - Keywords'!$E:$E,1,FALSE),"#N/A")</f>
        <v>https://www.columvi.com/starting-columvi/how-columvi-is-given.html</v>
      </c>
      <c r="K129" s="5" t="str">
        <f t="shared" si="1"/>
        <v>https://www.columvi.com/starting-columvi/how-columvi-is-given.html?c=gft-1890321fc12</v>
      </c>
      <c r="L129" s="5" t="b">
        <v>1</v>
      </c>
      <c r="M129" s="5" t="s">
        <v>5</v>
      </c>
    </row>
    <row r="130" spans="1:13" ht="15.75" customHeight="1" x14ac:dyDescent="0.3">
      <c r="A130" s="5" t="s">
        <v>315</v>
      </c>
      <c r="B130" s="5" t="s">
        <v>320</v>
      </c>
      <c r="C130" s="5" t="s">
        <v>113</v>
      </c>
      <c r="D130" s="2" t="str">
        <f>IFERROR(VLOOKUP(C130,'ATP - Keywords'!$B:$B,1,FALSE),"#N/A")</f>
        <v>Unbranded DLBCL Dosing</v>
      </c>
      <c r="E130" s="5" t="s">
        <v>266</v>
      </c>
      <c r="F130" s="2" t="str">
        <f>IFERROR(VLOOKUP(E130,'ATP - Keywords'!$C:$C,1,FALSE),"#N/A")</f>
        <v>large b cell lymphoma infusion</v>
      </c>
      <c r="G130" s="5" t="s">
        <v>131</v>
      </c>
      <c r="H130" s="5" t="s">
        <v>341</v>
      </c>
      <c r="I130" s="5" t="s">
        <v>107</v>
      </c>
      <c r="J130" s="5" t="str">
        <f>IFERROR(VLOOKUP(I130,'ATP - Keywords'!$E:$E,1,FALSE),"#N/A")</f>
        <v>https://www.columvi.com/starting-columvi/how-columvi-is-given.html</v>
      </c>
      <c r="K130" s="5" t="str">
        <f t="shared" ref="K130:K193" si="2">CONCATENATE(J130,"?c=",M130)</f>
        <v>https://www.columvi.com/starting-columvi/how-columvi-is-given.html?c=gft-1890321fc12</v>
      </c>
      <c r="L130" s="5" t="b">
        <v>1</v>
      </c>
      <c r="M130" s="5" t="s">
        <v>5</v>
      </c>
    </row>
    <row r="131" spans="1:13" ht="15.75" customHeight="1" x14ac:dyDescent="0.3">
      <c r="A131" s="5" t="s">
        <v>315</v>
      </c>
      <c r="B131" s="5" t="s">
        <v>320</v>
      </c>
      <c r="C131" s="5" t="s">
        <v>113</v>
      </c>
      <c r="D131" s="2" t="str">
        <f>IFERROR(VLOOKUP(C131,'ATP - Keywords'!$B:$B,1,FALSE),"#N/A")</f>
        <v>Unbranded DLBCL Dosing</v>
      </c>
      <c r="E131" s="5" t="s">
        <v>267</v>
      </c>
      <c r="F131" s="2" t="str">
        <f>IFERROR(VLOOKUP(E131,'ATP - Keywords'!$C:$C,1,FALSE),"#N/A")</f>
        <v>large b cell dosing information</v>
      </c>
      <c r="G131" s="5" t="s">
        <v>131</v>
      </c>
      <c r="H131" s="5" t="s">
        <v>341</v>
      </c>
      <c r="I131" s="5" t="s">
        <v>107</v>
      </c>
      <c r="J131" s="5" t="str">
        <f>IFERROR(VLOOKUP(I131,'ATP - Keywords'!$E:$E,1,FALSE),"#N/A")</f>
        <v>https://www.columvi.com/starting-columvi/how-columvi-is-given.html</v>
      </c>
      <c r="K131" s="5" t="str">
        <f t="shared" si="2"/>
        <v>https://www.columvi.com/starting-columvi/how-columvi-is-given.html?c=gft-1890321fc12</v>
      </c>
      <c r="L131" s="5" t="b">
        <v>1</v>
      </c>
      <c r="M131" s="5" t="s">
        <v>5</v>
      </c>
    </row>
    <row r="132" spans="1:13" ht="15.75" customHeight="1" x14ac:dyDescent="0.3">
      <c r="A132" s="5" t="s">
        <v>315</v>
      </c>
      <c r="B132" s="5" t="s">
        <v>320</v>
      </c>
      <c r="C132" s="5" t="s">
        <v>113</v>
      </c>
      <c r="D132" s="2" t="str">
        <f>IFERROR(VLOOKUP(C132,'ATP - Keywords'!$B:$B,1,FALSE),"#N/A")</f>
        <v>Unbranded DLBCL Dosing</v>
      </c>
      <c r="E132" s="5" t="s">
        <v>268</v>
      </c>
      <c r="F132" s="2" t="str">
        <f>IFERROR(VLOOKUP(E132,'ATP - Keywords'!$C:$C,1,FALSE),"#N/A")</f>
        <v>large b cell dosing and administration information</v>
      </c>
      <c r="G132" s="5" t="s">
        <v>131</v>
      </c>
      <c r="H132" s="5" t="s">
        <v>341</v>
      </c>
      <c r="I132" s="5" t="s">
        <v>107</v>
      </c>
      <c r="J132" s="5" t="str">
        <f>IFERROR(VLOOKUP(I132,'ATP - Keywords'!$E:$E,1,FALSE),"#N/A")</f>
        <v>https://www.columvi.com/starting-columvi/how-columvi-is-given.html</v>
      </c>
      <c r="K132" s="5" t="str">
        <f t="shared" si="2"/>
        <v>https://www.columvi.com/starting-columvi/how-columvi-is-given.html?c=gft-1890321fc12</v>
      </c>
      <c r="L132" s="5" t="b">
        <v>1</v>
      </c>
      <c r="M132" s="5" t="s">
        <v>5</v>
      </c>
    </row>
    <row r="133" spans="1:13" ht="15.75" customHeight="1" x14ac:dyDescent="0.3">
      <c r="A133" s="2" t="s">
        <v>321</v>
      </c>
      <c r="B133" s="2" t="s">
        <v>322</v>
      </c>
      <c r="C133" s="2" t="s">
        <v>46</v>
      </c>
      <c r="D133" s="2" t="str">
        <f>IFERROR(VLOOKUP(C133,'ATP - Keywords'!$B:$B,1,FALSE),"#N/A")</f>
        <v>Unbranded Condition</v>
      </c>
      <c r="E133" s="2" t="s">
        <v>130</v>
      </c>
      <c r="F133" s="2" t="str">
        <f>IFERROR(VLOOKUP(E133,'ATP - Keywords'!$C:$C,1,FALSE),"#N/A")</f>
        <v>about large b cell lymphoma</v>
      </c>
      <c r="G133" s="2" t="s">
        <v>269</v>
      </c>
      <c r="H133" s="2" t="s">
        <v>335</v>
      </c>
      <c r="I133" s="2" t="s">
        <v>69</v>
      </c>
      <c r="J133" s="2" t="str">
        <f>IFERROR(VLOOKUP(I133,'ATP - Keywords'!$E:$E,1,FALSE),"#N/A")</f>
        <v>https://www.columvi.com/about/what-is-DLBCL.html</v>
      </c>
      <c r="K133" s="2" t="str">
        <f t="shared" si="2"/>
        <v>https://www.columvi.com/about/what-is-DLBCL.html?c=gft-1890321fc12</v>
      </c>
      <c r="L133" s="2" t="b">
        <v>1</v>
      </c>
      <c r="M133" s="2" t="s">
        <v>5</v>
      </c>
    </row>
    <row r="134" spans="1:13" ht="15.75" customHeight="1" x14ac:dyDescent="0.3">
      <c r="A134" s="2" t="s">
        <v>321</v>
      </c>
      <c r="B134" s="2" t="s">
        <v>322</v>
      </c>
      <c r="C134" s="2" t="s">
        <v>46</v>
      </c>
      <c r="D134" s="2" t="str">
        <f>IFERROR(VLOOKUP(C134,'ATP - Keywords'!$B:$B,1,FALSE),"#N/A")</f>
        <v>Unbranded Condition</v>
      </c>
      <c r="E134" s="2" t="s">
        <v>133</v>
      </c>
      <c r="F134" s="2" t="str">
        <f>IFERROR(VLOOKUP(E134,'ATP - Keywords'!$C:$C,1,FALSE),"#N/A")</f>
        <v>about dlbcl</v>
      </c>
      <c r="G134" s="2" t="s">
        <v>269</v>
      </c>
      <c r="H134" s="2" t="s">
        <v>335</v>
      </c>
      <c r="I134" s="2" t="s">
        <v>69</v>
      </c>
      <c r="J134" s="2" t="str">
        <f>IFERROR(VLOOKUP(I134,'ATP - Keywords'!$E:$E,1,FALSE),"#N/A")</f>
        <v>https://www.columvi.com/about/what-is-DLBCL.html</v>
      </c>
      <c r="K134" s="2" t="str">
        <f t="shared" si="2"/>
        <v>https://www.columvi.com/about/what-is-DLBCL.html?c=gft-1890321fc12</v>
      </c>
      <c r="L134" s="2" t="b">
        <v>1</v>
      </c>
      <c r="M134" s="2" t="s">
        <v>5</v>
      </c>
    </row>
    <row r="135" spans="1:13" ht="15.75" customHeight="1" x14ac:dyDescent="0.3">
      <c r="A135" s="2" t="s">
        <v>321</v>
      </c>
      <c r="B135" s="2" t="s">
        <v>322</v>
      </c>
      <c r="C135" s="2" t="s">
        <v>46</v>
      </c>
      <c r="D135" s="2" t="str">
        <f>IFERROR(VLOOKUP(C135,'ATP - Keywords'!$B:$B,1,FALSE),"#N/A")</f>
        <v>Unbranded Condition</v>
      </c>
      <c r="E135" s="2" t="s">
        <v>134</v>
      </c>
      <c r="F135" s="2" t="str">
        <f>IFERROR(VLOOKUP(E135,'ATP - Keywords'!$C:$C,1,FALSE),"#N/A")</f>
        <v>large b cell</v>
      </c>
      <c r="G135" s="2" t="s">
        <v>269</v>
      </c>
      <c r="H135" s="2" t="s">
        <v>335</v>
      </c>
      <c r="I135" s="2" t="s">
        <v>69</v>
      </c>
      <c r="J135" s="2" t="str">
        <f>IFERROR(VLOOKUP(I135,'ATP - Keywords'!$E:$E,1,FALSE),"#N/A")</f>
        <v>https://www.columvi.com/about/what-is-DLBCL.html</v>
      </c>
      <c r="K135" s="2" t="str">
        <f t="shared" si="2"/>
        <v>https://www.columvi.com/about/what-is-DLBCL.html?c=gft-1890321fc12</v>
      </c>
      <c r="L135" s="2" t="b">
        <v>1</v>
      </c>
      <c r="M135" s="2" t="s">
        <v>5</v>
      </c>
    </row>
    <row r="136" spans="1:13" ht="15.75" customHeight="1" x14ac:dyDescent="0.3">
      <c r="A136" s="2" t="s">
        <v>321</v>
      </c>
      <c r="B136" s="2" t="s">
        <v>322</v>
      </c>
      <c r="C136" s="2" t="s">
        <v>46</v>
      </c>
      <c r="D136" s="2" t="str">
        <f>IFERROR(VLOOKUP(C136,'ATP - Keywords'!$B:$B,1,FALSE),"#N/A")</f>
        <v>Unbranded Condition</v>
      </c>
      <c r="E136" s="2" t="s">
        <v>135</v>
      </c>
      <c r="F136" s="2" t="str">
        <f>IFERROR(VLOOKUP(E136,'ATP - Keywords'!$C:$C,1,FALSE),"#N/A")</f>
        <v>large b lymphoma</v>
      </c>
      <c r="G136" s="2" t="s">
        <v>269</v>
      </c>
      <c r="H136" s="2" t="s">
        <v>335</v>
      </c>
      <c r="I136" s="2" t="s">
        <v>69</v>
      </c>
      <c r="J136" s="2" t="str">
        <f>IFERROR(VLOOKUP(I136,'ATP - Keywords'!$E:$E,1,FALSE),"#N/A")</f>
        <v>https://www.columvi.com/about/what-is-DLBCL.html</v>
      </c>
      <c r="K136" s="2" t="str">
        <f t="shared" si="2"/>
        <v>https://www.columvi.com/about/what-is-DLBCL.html?c=gft-1890321fc12</v>
      </c>
      <c r="L136" s="2" t="b">
        <v>1</v>
      </c>
      <c r="M136" s="2" t="s">
        <v>5</v>
      </c>
    </row>
    <row r="137" spans="1:13" ht="15.75" customHeight="1" x14ac:dyDescent="0.3">
      <c r="A137" s="2" t="s">
        <v>321</v>
      </c>
      <c r="B137" s="2" t="s">
        <v>322</v>
      </c>
      <c r="C137" s="2" t="s">
        <v>46</v>
      </c>
      <c r="D137" s="2" t="str">
        <f>IFERROR(VLOOKUP(C137,'ATP - Keywords'!$B:$B,1,FALSE),"#N/A")</f>
        <v>Unbranded Condition</v>
      </c>
      <c r="E137" s="2" t="s">
        <v>136</v>
      </c>
      <c r="F137" s="2" t="str">
        <f>IFERROR(VLOOKUP(E137,'ATP - Keywords'!$C:$C,1,FALSE),"#N/A")</f>
        <v>large cell b lymphoma</v>
      </c>
      <c r="G137" s="2" t="s">
        <v>269</v>
      </c>
      <c r="H137" s="2" t="s">
        <v>335</v>
      </c>
      <c r="I137" s="2" t="s">
        <v>69</v>
      </c>
      <c r="J137" s="2" t="str">
        <f>IFERROR(VLOOKUP(I137,'ATP - Keywords'!$E:$E,1,FALSE),"#N/A")</f>
        <v>https://www.columvi.com/about/what-is-DLBCL.html</v>
      </c>
      <c r="K137" s="2" t="str">
        <f t="shared" si="2"/>
        <v>https://www.columvi.com/about/what-is-DLBCL.html?c=gft-1890321fc12</v>
      </c>
      <c r="L137" s="2" t="b">
        <v>1</v>
      </c>
      <c r="M137" s="2" t="s">
        <v>5</v>
      </c>
    </row>
    <row r="138" spans="1:13" ht="15.75" customHeight="1" x14ac:dyDescent="0.3">
      <c r="A138" s="2" t="s">
        <v>321</v>
      </c>
      <c r="B138" s="2" t="s">
        <v>322</v>
      </c>
      <c r="C138" s="2" t="s">
        <v>46</v>
      </c>
      <c r="D138" s="2" t="str">
        <f>IFERROR(VLOOKUP(C138,'ATP - Keywords'!$B:$B,1,FALSE),"#N/A")</f>
        <v>Unbranded Condition</v>
      </c>
      <c r="E138" s="2" t="s">
        <v>137</v>
      </c>
      <c r="F138" s="2" t="str">
        <f>IFERROR(VLOOKUP(E138,'ATP - Keywords'!$C:$C,1,FALSE),"#N/A")</f>
        <v>dlbcl</v>
      </c>
      <c r="G138" s="2" t="s">
        <v>269</v>
      </c>
      <c r="H138" s="2" t="s">
        <v>335</v>
      </c>
      <c r="I138" s="2" t="s">
        <v>69</v>
      </c>
      <c r="J138" s="2" t="str">
        <f>IFERROR(VLOOKUP(I138,'ATP - Keywords'!$E:$E,1,FALSE),"#N/A")</f>
        <v>https://www.columvi.com/about/what-is-DLBCL.html</v>
      </c>
      <c r="K138" s="2" t="str">
        <f t="shared" si="2"/>
        <v>https://www.columvi.com/about/what-is-DLBCL.html?c=gft-1890321fc12</v>
      </c>
      <c r="L138" s="2" t="b">
        <v>1</v>
      </c>
      <c r="M138" s="2" t="s">
        <v>5</v>
      </c>
    </row>
    <row r="139" spans="1:13" ht="15.75" customHeight="1" x14ac:dyDescent="0.3">
      <c r="A139" s="2" t="s">
        <v>321</v>
      </c>
      <c r="B139" s="2" t="s">
        <v>322</v>
      </c>
      <c r="C139" s="2" t="s">
        <v>46</v>
      </c>
      <c r="D139" s="2" t="str">
        <f>IFERROR(VLOOKUP(C139,'ATP - Keywords'!$B:$B,1,FALSE),"#N/A")</f>
        <v>Unbranded Condition</v>
      </c>
      <c r="E139" s="2" t="s">
        <v>138</v>
      </c>
      <c r="F139" s="2" t="str">
        <f>IFERROR(VLOOKUP(E139,'ATP - Keywords'!$C:$C,1,FALSE),"#N/A")</f>
        <v>dlbcl cancer</v>
      </c>
      <c r="G139" s="2" t="s">
        <v>269</v>
      </c>
      <c r="H139" s="2" t="s">
        <v>335</v>
      </c>
      <c r="I139" s="2" t="s">
        <v>69</v>
      </c>
      <c r="J139" s="2" t="str">
        <f>IFERROR(VLOOKUP(I139,'ATP - Keywords'!$E:$E,1,FALSE),"#N/A")</f>
        <v>https://www.columvi.com/about/what-is-DLBCL.html</v>
      </c>
      <c r="K139" s="2" t="str">
        <f t="shared" si="2"/>
        <v>https://www.columvi.com/about/what-is-DLBCL.html?c=gft-1890321fc12</v>
      </c>
      <c r="L139" s="2" t="b">
        <v>1</v>
      </c>
      <c r="M139" s="2" t="s">
        <v>5</v>
      </c>
    </row>
    <row r="140" spans="1:13" ht="15.75" customHeight="1" x14ac:dyDescent="0.3">
      <c r="A140" s="2" t="s">
        <v>321</v>
      </c>
      <c r="B140" s="2" t="s">
        <v>322</v>
      </c>
      <c r="C140" s="2" t="s">
        <v>46</v>
      </c>
      <c r="D140" s="2" t="str">
        <f>IFERROR(VLOOKUP(C140,'ATP - Keywords'!$B:$B,1,FALSE),"#N/A")</f>
        <v>Unbranded Condition</v>
      </c>
      <c r="E140" s="2" t="s">
        <v>139</v>
      </c>
      <c r="F140" s="2" t="str">
        <f>IFERROR(VLOOKUP(E140,'ATP - Keywords'!$C:$C,1,FALSE),"#N/A")</f>
        <v>dlbcl lymphoma</v>
      </c>
      <c r="G140" s="2" t="s">
        <v>269</v>
      </c>
      <c r="H140" s="2" t="s">
        <v>335</v>
      </c>
      <c r="I140" s="2" t="s">
        <v>69</v>
      </c>
      <c r="J140" s="2" t="str">
        <f>IFERROR(VLOOKUP(I140,'ATP - Keywords'!$E:$E,1,FALSE),"#N/A")</f>
        <v>https://www.columvi.com/about/what-is-DLBCL.html</v>
      </c>
      <c r="K140" s="2" t="str">
        <f t="shared" si="2"/>
        <v>https://www.columvi.com/about/what-is-DLBCL.html?c=gft-1890321fc12</v>
      </c>
      <c r="L140" s="2" t="b">
        <v>1</v>
      </c>
      <c r="M140" s="2" t="s">
        <v>5</v>
      </c>
    </row>
    <row r="141" spans="1:13" ht="15.75" customHeight="1" x14ac:dyDescent="0.3">
      <c r="A141" s="2" t="s">
        <v>321</v>
      </c>
      <c r="B141" s="2" t="s">
        <v>322</v>
      </c>
      <c r="C141" s="2" t="s">
        <v>46</v>
      </c>
      <c r="D141" s="2" t="str">
        <f>IFERROR(VLOOKUP(C141,'ATP - Keywords'!$B:$B,1,FALSE),"#N/A")</f>
        <v>Unbranded Condition</v>
      </c>
      <c r="E141" s="2" t="s">
        <v>140</v>
      </c>
      <c r="F141" s="2" t="str">
        <f>IFERROR(VLOOKUP(E141,'ATP - Keywords'!$C:$C,1,FALSE),"#N/A")</f>
        <v>lymphoma b</v>
      </c>
      <c r="G141" s="2" t="s">
        <v>269</v>
      </c>
      <c r="H141" s="2" t="s">
        <v>335</v>
      </c>
      <c r="I141" s="2" t="s">
        <v>69</v>
      </c>
      <c r="J141" s="2" t="str">
        <f>IFERROR(VLOOKUP(I141,'ATP - Keywords'!$E:$E,1,FALSE),"#N/A")</f>
        <v>https://www.columvi.com/about/what-is-DLBCL.html</v>
      </c>
      <c r="K141" s="2" t="str">
        <f t="shared" si="2"/>
        <v>https://www.columvi.com/about/what-is-DLBCL.html?c=gft-1890321fc12</v>
      </c>
      <c r="L141" s="2" t="b">
        <v>1</v>
      </c>
      <c r="M141" s="2" t="s">
        <v>5</v>
      </c>
    </row>
    <row r="142" spans="1:13" ht="15.75" customHeight="1" x14ac:dyDescent="0.3">
      <c r="A142" s="2" t="s">
        <v>321</v>
      </c>
      <c r="B142" s="2" t="s">
        <v>322</v>
      </c>
      <c r="C142" s="2" t="s">
        <v>46</v>
      </c>
      <c r="D142" s="2" t="str">
        <f>IFERROR(VLOOKUP(C142,'ATP - Keywords'!$B:$B,1,FALSE),"#N/A")</f>
        <v>Unbranded Condition</v>
      </c>
      <c r="E142" s="2" t="s">
        <v>141</v>
      </c>
      <c r="F142" s="2" t="str">
        <f>IFERROR(VLOOKUP(E142,'ATP - Keywords'!$C:$C,1,FALSE),"#N/A")</f>
        <v>type b lymphoma</v>
      </c>
      <c r="G142" s="2" t="s">
        <v>269</v>
      </c>
      <c r="H142" s="2" t="s">
        <v>335</v>
      </c>
      <c r="I142" s="2" t="s">
        <v>69</v>
      </c>
      <c r="J142" s="2" t="str">
        <f>IFERROR(VLOOKUP(I142,'ATP - Keywords'!$E:$E,1,FALSE),"#N/A")</f>
        <v>https://www.columvi.com/about/what-is-DLBCL.html</v>
      </c>
      <c r="K142" s="2" t="str">
        <f t="shared" si="2"/>
        <v>https://www.columvi.com/about/what-is-DLBCL.html?c=gft-1890321fc12</v>
      </c>
      <c r="L142" s="2" t="b">
        <v>1</v>
      </c>
      <c r="M142" s="2" t="s">
        <v>5</v>
      </c>
    </row>
    <row r="143" spans="1:13" ht="15.75" customHeight="1" x14ac:dyDescent="0.3">
      <c r="A143" s="2" t="s">
        <v>321</v>
      </c>
      <c r="B143" s="2" t="s">
        <v>322</v>
      </c>
      <c r="C143" s="2" t="s">
        <v>46</v>
      </c>
      <c r="D143" s="2" t="str">
        <f>IFERROR(VLOOKUP(C143,'ATP - Keywords'!$B:$B,1,FALSE),"#N/A")</f>
        <v>Unbranded Condition</v>
      </c>
      <c r="E143" s="2" t="s">
        <v>142</v>
      </c>
      <c r="F143" s="2" t="str">
        <f>IFERROR(VLOOKUP(E143,'ATP - Keywords'!$C:$C,1,FALSE),"#N/A")</f>
        <v>what is large b cell lymphoma</v>
      </c>
      <c r="G143" s="2" t="s">
        <v>269</v>
      </c>
      <c r="H143" s="2" t="s">
        <v>335</v>
      </c>
      <c r="I143" s="2" t="s">
        <v>69</v>
      </c>
      <c r="J143" s="2" t="str">
        <f>IFERROR(VLOOKUP(I143,'ATP - Keywords'!$E:$E,1,FALSE),"#N/A")</f>
        <v>https://www.columvi.com/about/what-is-DLBCL.html</v>
      </c>
      <c r="K143" s="2" t="str">
        <f t="shared" si="2"/>
        <v>https://www.columvi.com/about/what-is-DLBCL.html?c=gft-1890321fc12</v>
      </c>
      <c r="L143" s="2" t="b">
        <v>1</v>
      </c>
      <c r="M143" s="2" t="s">
        <v>5</v>
      </c>
    </row>
    <row r="144" spans="1:13" ht="15.75" customHeight="1" x14ac:dyDescent="0.3">
      <c r="A144" s="2" t="s">
        <v>321</v>
      </c>
      <c r="B144" s="2" t="s">
        <v>322</v>
      </c>
      <c r="C144" s="2" t="s">
        <v>46</v>
      </c>
      <c r="D144" s="2" t="str">
        <f>IFERROR(VLOOKUP(C144,'ATP - Keywords'!$B:$B,1,FALSE),"#N/A")</f>
        <v>Unbranded Condition</v>
      </c>
      <c r="E144" s="2" t="s">
        <v>143</v>
      </c>
      <c r="F144" s="2" t="str">
        <f>IFERROR(VLOOKUP(E144,'ATP - Keywords'!$C:$C,1,FALSE),"#N/A")</f>
        <v>what is dlbcl</v>
      </c>
      <c r="G144" s="2" t="s">
        <v>269</v>
      </c>
      <c r="H144" s="2" t="s">
        <v>335</v>
      </c>
      <c r="I144" s="2" t="s">
        <v>69</v>
      </c>
      <c r="J144" s="2" t="str">
        <f>IFERROR(VLOOKUP(I144,'ATP - Keywords'!$E:$E,1,FALSE),"#N/A")</f>
        <v>https://www.columvi.com/about/what-is-DLBCL.html</v>
      </c>
      <c r="K144" s="2" t="str">
        <f t="shared" si="2"/>
        <v>https://www.columvi.com/about/what-is-DLBCL.html?c=gft-1890321fc12</v>
      </c>
      <c r="L144" s="2" t="b">
        <v>1</v>
      </c>
      <c r="M144" s="2" t="s">
        <v>5</v>
      </c>
    </row>
    <row r="145" spans="1:13" ht="15.75" customHeight="1" x14ac:dyDescent="0.3">
      <c r="A145" s="2" t="s">
        <v>321</v>
      </c>
      <c r="B145" s="2" t="s">
        <v>322</v>
      </c>
      <c r="C145" s="2" t="s">
        <v>46</v>
      </c>
      <c r="D145" s="2" t="str">
        <f>IFERROR(VLOOKUP(C145,'ATP - Keywords'!$B:$B,1,FALSE),"#N/A")</f>
        <v>Unbranded Condition</v>
      </c>
      <c r="E145" s="2" t="s">
        <v>144</v>
      </c>
      <c r="F145" s="2" t="str">
        <f>IFERROR(VLOOKUP(E145,'ATP - Keywords'!$C:$C,1,FALSE),"#N/A")</f>
        <v>b cell large diffuse</v>
      </c>
      <c r="G145" s="2" t="s">
        <v>269</v>
      </c>
      <c r="H145" s="2" t="s">
        <v>335</v>
      </c>
      <c r="I145" s="2" t="s">
        <v>69</v>
      </c>
      <c r="J145" s="2" t="str">
        <f>IFERROR(VLOOKUP(I145,'ATP - Keywords'!$E:$E,1,FALSE),"#N/A")</f>
        <v>https://www.columvi.com/about/what-is-DLBCL.html</v>
      </c>
      <c r="K145" s="2" t="str">
        <f t="shared" si="2"/>
        <v>https://www.columvi.com/about/what-is-DLBCL.html?c=gft-1890321fc12</v>
      </c>
      <c r="L145" s="2" t="b">
        <v>1</v>
      </c>
      <c r="M145" s="2" t="s">
        <v>5</v>
      </c>
    </row>
    <row r="146" spans="1:13" ht="15.75" customHeight="1" x14ac:dyDescent="0.3">
      <c r="A146" s="2" t="s">
        <v>321</v>
      </c>
      <c r="B146" s="2" t="s">
        <v>322</v>
      </c>
      <c r="C146" s="2" t="s">
        <v>46</v>
      </c>
      <c r="D146" s="2" t="str">
        <f>IFERROR(VLOOKUP(C146,'ATP - Keywords'!$B:$B,1,FALSE),"#N/A")</f>
        <v>Unbranded Condition</v>
      </c>
      <c r="E146" s="2" t="s">
        <v>145</v>
      </c>
      <c r="F146" s="2" t="str">
        <f>IFERROR(VLOOKUP(E146,'ATP - Keywords'!$C:$C,1,FALSE),"#N/A")</f>
        <v>lymphoma and large b cell</v>
      </c>
      <c r="G146" s="2" t="s">
        <v>269</v>
      </c>
      <c r="H146" s="2" t="s">
        <v>335</v>
      </c>
      <c r="I146" s="2" t="s">
        <v>69</v>
      </c>
      <c r="J146" s="2" t="str">
        <f>IFERROR(VLOOKUP(I146,'ATP - Keywords'!$E:$E,1,FALSE),"#N/A")</f>
        <v>https://www.columvi.com/about/what-is-DLBCL.html</v>
      </c>
      <c r="K146" s="2" t="str">
        <f t="shared" si="2"/>
        <v>https://www.columvi.com/about/what-is-DLBCL.html?c=gft-1890321fc12</v>
      </c>
      <c r="L146" s="2" t="b">
        <v>1</v>
      </c>
      <c r="M146" s="2" t="s">
        <v>5</v>
      </c>
    </row>
    <row r="147" spans="1:13" ht="15.75" customHeight="1" x14ac:dyDescent="0.3">
      <c r="A147" s="2" t="s">
        <v>321</v>
      </c>
      <c r="B147" s="2" t="s">
        <v>322</v>
      </c>
      <c r="C147" s="2" t="s">
        <v>46</v>
      </c>
      <c r="D147" s="2" t="str">
        <f>IFERROR(VLOOKUP(C147,'ATP - Keywords'!$B:$B,1,FALSE),"#N/A")</f>
        <v>Unbranded Condition</v>
      </c>
      <c r="E147" s="2" t="s">
        <v>146</v>
      </c>
      <c r="F147" s="2" t="str">
        <f>IFERROR(VLOOKUP(E147,'ATP - Keywords'!$C:$C,1,FALSE),"#N/A")</f>
        <v>diffuse large b cell lymphoma</v>
      </c>
      <c r="G147" s="2" t="s">
        <v>269</v>
      </c>
      <c r="H147" s="2" t="s">
        <v>335</v>
      </c>
      <c r="I147" s="2" t="s">
        <v>69</v>
      </c>
      <c r="J147" s="2" t="str">
        <f>IFERROR(VLOOKUP(I147,'ATP - Keywords'!$E:$E,1,FALSE),"#N/A")</f>
        <v>https://www.columvi.com/about/what-is-DLBCL.html</v>
      </c>
      <c r="K147" s="2" t="str">
        <f t="shared" si="2"/>
        <v>https://www.columvi.com/about/what-is-DLBCL.html?c=gft-1890321fc12</v>
      </c>
      <c r="L147" s="2" t="b">
        <v>1</v>
      </c>
      <c r="M147" s="2" t="s">
        <v>5</v>
      </c>
    </row>
    <row r="148" spans="1:13" ht="15.75" customHeight="1" x14ac:dyDescent="0.3">
      <c r="A148" s="2" t="s">
        <v>321</v>
      </c>
      <c r="B148" s="2" t="s">
        <v>322</v>
      </c>
      <c r="C148" s="2" t="s">
        <v>46</v>
      </c>
      <c r="D148" s="2" t="str">
        <f>IFERROR(VLOOKUP(C148,'ATP - Keywords'!$B:$B,1,FALSE),"#N/A")</f>
        <v>Unbranded Condition</v>
      </c>
      <c r="E148" s="2" t="s">
        <v>147</v>
      </c>
      <c r="F148" s="2" t="str">
        <f>IFERROR(VLOOKUP(E148,'ATP - Keywords'!$C:$C,1,FALSE),"#N/A")</f>
        <v>dlbcl fda approval</v>
      </c>
      <c r="G148" s="2" t="s">
        <v>269</v>
      </c>
      <c r="H148" s="2" t="s">
        <v>335</v>
      </c>
      <c r="I148" s="2" t="s">
        <v>69</v>
      </c>
      <c r="J148" s="2" t="str">
        <f>IFERROR(VLOOKUP(I148,'ATP - Keywords'!$E:$E,1,FALSE),"#N/A")</f>
        <v>https://www.columvi.com/about/what-is-DLBCL.html</v>
      </c>
      <c r="K148" s="2" t="str">
        <f t="shared" si="2"/>
        <v>https://www.columvi.com/about/what-is-DLBCL.html?c=gft-1890321fc12</v>
      </c>
      <c r="L148" s="2" t="b">
        <v>1</v>
      </c>
      <c r="M148" s="2" t="s">
        <v>5</v>
      </c>
    </row>
    <row r="149" spans="1:13" ht="15.75" customHeight="1" x14ac:dyDescent="0.3">
      <c r="A149" s="2" t="s">
        <v>321</v>
      </c>
      <c r="B149" s="2" t="s">
        <v>322</v>
      </c>
      <c r="C149" s="2" t="s">
        <v>46</v>
      </c>
      <c r="D149" s="2" t="str">
        <f>IFERROR(VLOOKUP(C149,'ATP - Keywords'!$B:$B,1,FALSE),"#N/A")</f>
        <v>Unbranded Condition</v>
      </c>
      <c r="E149" s="2" t="s">
        <v>148</v>
      </c>
      <c r="F149" s="2" t="str">
        <f>IFERROR(VLOOKUP(E149,'ATP - Keywords'!$C:$C,1,FALSE),"#N/A")</f>
        <v>dlbcl treatment fda approval</v>
      </c>
      <c r="G149" s="2" t="s">
        <v>269</v>
      </c>
      <c r="H149" s="2" t="s">
        <v>335</v>
      </c>
      <c r="I149" s="2" t="s">
        <v>69</v>
      </c>
      <c r="J149" s="2" t="str">
        <f>IFERROR(VLOOKUP(I149,'ATP - Keywords'!$E:$E,1,FALSE),"#N/A")</f>
        <v>https://www.columvi.com/about/what-is-DLBCL.html</v>
      </c>
      <c r="K149" s="2" t="str">
        <f t="shared" si="2"/>
        <v>https://www.columvi.com/about/what-is-DLBCL.html?c=gft-1890321fc12</v>
      </c>
      <c r="L149" s="2" t="b">
        <v>1</v>
      </c>
      <c r="M149" s="2" t="s">
        <v>5</v>
      </c>
    </row>
    <row r="150" spans="1:13" ht="15.75" customHeight="1" x14ac:dyDescent="0.3">
      <c r="A150" s="2" t="s">
        <v>321</v>
      </c>
      <c r="B150" s="2" t="s">
        <v>322</v>
      </c>
      <c r="C150" s="2" t="s">
        <v>46</v>
      </c>
      <c r="D150" s="2" t="str">
        <f>IFERROR(VLOOKUP(C150,'ATP - Keywords'!$B:$B,1,FALSE),"#N/A")</f>
        <v>Unbranded Condition</v>
      </c>
      <c r="E150" s="2" t="s">
        <v>149</v>
      </c>
      <c r="F150" s="2" t="str">
        <f>IFERROR(VLOOKUP(E150,'ATP - Keywords'!$C:$C,1,FALSE),"#N/A")</f>
        <v>r/r dlbcl</v>
      </c>
      <c r="G150" s="2" t="s">
        <v>269</v>
      </c>
      <c r="H150" s="2" t="s">
        <v>335</v>
      </c>
      <c r="I150" s="2" t="s">
        <v>69</v>
      </c>
      <c r="J150" s="2" t="str">
        <f>IFERROR(VLOOKUP(I150,'ATP - Keywords'!$E:$E,1,FALSE),"#N/A")</f>
        <v>https://www.columvi.com/about/what-is-DLBCL.html</v>
      </c>
      <c r="K150" s="2" t="str">
        <f t="shared" si="2"/>
        <v>https://www.columvi.com/about/what-is-DLBCL.html?c=gft-1890321fc12</v>
      </c>
      <c r="L150" s="2" t="b">
        <v>1</v>
      </c>
      <c r="M150" s="2" t="s">
        <v>5</v>
      </c>
    </row>
    <row r="151" spans="1:13" ht="15.75" customHeight="1" x14ac:dyDescent="0.3">
      <c r="A151" s="2" t="s">
        <v>321</v>
      </c>
      <c r="B151" s="2" t="s">
        <v>322</v>
      </c>
      <c r="C151" s="2" t="s">
        <v>46</v>
      </c>
      <c r="D151" s="2" t="str">
        <f>IFERROR(VLOOKUP(C151,'ATP - Keywords'!$B:$B,1,FALSE),"#N/A")</f>
        <v>Unbranded Condition</v>
      </c>
      <c r="E151" s="2" t="s">
        <v>150</v>
      </c>
      <c r="F151" s="2" t="str">
        <f>IFERROR(VLOOKUP(E151,'ATP - Keywords'!$C:$C,1,FALSE),"#N/A")</f>
        <v>relapsed or refractory dlbcl</v>
      </c>
      <c r="G151" s="2" t="s">
        <v>269</v>
      </c>
      <c r="H151" s="2" t="s">
        <v>335</v>
      </c>
      <c r="I151" s="2" t="s">
        <v>69</v>
      </c>
      <c r="J151" s="2" t="str">
        <f>IFERROR(VLOOKUP(I151,'ATP - Keywords'!$E:$E,1,FALSE),"#N/A")</f>
        <v>https://www.columvi.com/about/what-is-DLBCL.html</v>
      </c>
      <c r="K151" s="2" t="str">
        <f t="shared" si="2"/>
        <v>https://www.columvi.com/about/what-is-DLBCL.html?c=gft-1890321fc12</v>
      </c>
      <c r="L151" s="2" t="b">
        <v>1</v>
      </c>
      <c r="M151" s="2" t="s">
        <v>5</v>
      </c>
    </row>
    <row r="152" spans="1:13" ht="15.75" customHeight="1" x14ac:dyDescent="0.3">
      <c r="A152" s="2" t="s">
        <v>321</v>
      </c>
      <c r="B152" s="2" t="s">
        <v>322</v>
      </c>
      <c r="C152" s="2" t="s">
        <v>46</v>
      </c>
      <c r="D152" s="2" t="str">
        <f>IFERROR(VLOOKUP(C152,'ATP - Keywords'!$B:$B,1,FALSE),"#N/A")</f>
        <v>Unbranded Condition</v>
      </c>
      <c r="E152" s="2" t="s">
        <v>151</v>
      </c>
      <c r="F152" s="2" t="str">
        <f>IFERROR(VLOOKUP(E152,'ATP - Keywords'!$C:$C,1,FALSE),"#N/A")</f>
        <v>relapsed or refractory diffuse large b cell lymphoma</v>
      </c>
      <c r="G152" s="2" t="s">
        <v>269</v>
      </c>
      <c r="H152" s="2" t="s">
        <v>335</v>
      </c>
      <c r="I152" s="2" t="s">
        <v>69</v>
      </c>
      <c r="J152" s="2" t="str">
        <f>IFERROR(VLOOKUP(I152,'ATP - Keywords'!$E:$E,1,FALSE),"#N/A")</f>
        <v>https://www.columvi.com/about/what-is-DLBCL.html</v>
      </c>
      <c r="K152" s="2" t="str">
        <f t="shared" si="2"/>
        <v>https://www.columvi.com/about/what-is-DLBCL.html?c=gft-1890321fc12</v>
      </c>
      <c r="L152" s="2" t="b">
        <v>1</v>
      </c>
      <c r="M152" s="2" t="s">
        <v>5</v>
      </c>
    </row>
    <row r="153" spans="1:13" ht="15.75" customHeight="1" x14ac:dyDescent="0.3">
      <c r="A153" s="2" t="s">
        <v>321</v>
      </c>
      <c r="B153" s="2" t="s">
        <v>322</v>
      </c>
      <c r="C153" s="2" t="s">
        <v>46</v>
      </c>
      <c r="D153" s="2" t="str">
        <f>IFERROR(VLOOKUP(C153,'ATP - Keywords'!$B:$B,1,FALSE),"#N/A")</f>
        <v>Unbranded Condition</v>
      </c>
      <c r="E153" s="2" t="s">
        <v>152</v>
      </c>
      <c r="F153" s="2" t="str">
        <f>IFERROR(VLOOKUP(E153,'ATP - Keywords'!$C:$C,1,FALSE),"#N/A")</f>
        <v>lbcl</v>
      </c>
      <c r="G153" s="2" t="s">
        <v>269</v>
      </c>
      <c r="H153" s="2" t="s">
        <v>335</v>
      </c>
      <c r="I153" s="2" t="s">
        <v>69</v>
      </c>
      <c r="J153" s="2" t="str">
        <f>IFERROR(VLOOKUP(I153,'ATP - Keywords'!$E:$E,1,FALSE),"#N/A")</f>
        <v>https://www.columvi.com/about/what-is-DLBCL.html</v>
      </c>
      <c r="K153" s="2" t="str">
        <f t="shared" si="2"/>
        <v>https://www.columvi.com/about/what-is-DLBCL.html?c=gft-1890321fc12</v>
      </c>
      <c r="L153" s="2" t="b">
        <v>1</v>
      </c>
      <c r="M153" s="2" t="s">
        <v>5</v>
      </c>
    </row>
    <row r="154" spans="1:13" ht="15.75" customHeight="1" x14ac:dyDescent="0.3">
      <c r="A154" s="2" t="s">
        <v>321</v>
      </c>
      <c r="B154" s="2" t="s">
        <v>322</v>
      </c>
      <c r="C154" s="2" t="s">
        <v>46</v>
      </c>
      <c r="D154" s="2" t="str">
        <f>IFERROR(VLOOKUP(C154,'ATP - Keywords'!$B:$B,1,FALSE),"#N/A")</f>
        <v>Unbranded Condition</v>
      </c>
      <c r="E154" s="2" t="s">
        <v>153</v>
      </c>
      <c r="F154" s="2" t="str">
        <f>IFERROR(VLOOKUP(E154,'ATP - Keywords'!$C:$C,1,FALSE),"#N/A")</f>
        <v>what is the difference between relapsed and refractory dlbcl</v>
      </c>
      <c r="G154" s="2" t="s">
        <v>269</v>
      </c>
      <c r="H154" s="2" t="s">
        <v>335</v>
      </c>
      <c r="I154" s="2" t="s">
        <v>69</v>
      </c>
      <c r="J154" s="2" t="str">
        <f>IFERROR(VLOOKUP(I154,'ATP - Keywords'!$E:$E,1,FALSE),"#N/A")</f>
        <v>https://www.columvi.com/about/what-is-DLBCL.html</v>
      </c>
      <c r="K154" s="2" t="str">
        <f t="shared" si="2"/>
        <v>https://www.columvi.com/about/what-is-DLBCL.html?c=gft-1890321fc12</v>
      </c>
      <c r="L154" s="2" t="b">
        <v>1</v>
      </c>
      <c r="M154" s="2" t="s">
        <v>5</v>
      </c>
    </row>
    <row r="155" spans="1:13" ht="15.75" customHeight="1" x14ac:dyDescent="0.3">
      <c r="A155" s="2" t="s">
        <v>321</v>
      </c>
      <c r="B155" s="2" t="s">
        <v>322</v>
      </c>
      <c r="C155" s="2" t="s">
        <v>46</v>
      </c>
      <c r="D155" s="2" t="str">
        <f>IFERROR(VLOOKUP(C155,'ATP - Keywords'!$B:$B,1,FALSE),"#N/A")</f>
        <v>Unbranded Condition</v>
      </c>
      <c r="E155" s="2" t="s">
        <v>154</v>
      </c>
      <c r="F155" s="2" t="str">
        <f>IFERROR(VLOOKUP(E155,'ATP - Keywords'!$C:$C,1,FALSE),"#N/A")</f>
        <v>what is relapsed or refractory dlbcl</v>
      </c>
      <c r="G155" s="2" t="s">
        <v>269</v>
      </c>
      <c r="H155" s="2" t="s">
        <v>335</v>
      </c>
      <c r="I155" s="2" t="s">
        <v>69</v>
      </c>
      <c r="J155" s="2" t="str">
        <f>IFERROR(VLOOKUP(I155,'ATP - Keywords'!$E:$E,1,FALSE),"#N/A")</f>
        <v>https://www.columvi.com/about/what-is-DLBCL.html</v>
      </c>
      <c r="K155" s="2" t="str">
        <f t="shared" si="2"/>
        <v>https://www.columvi.com/about/what-is-DLBCL.html?c=gft-1890321fc12</v>
      </c>
      <c r="L155" s="2" t="b">
        <v>1</v>
      </c>
      <c r="M155" s="2" t="s">
        <v>5</v>
      </c>
    </row>
    <row r="156" spans="1:13" ht="15.75" customHeight="1" x14ac:dyDescent="0.3">
      <c r="A156" s="2" t="s">
        <v>321</v>
      </c>
      <c r="B156" s="2" t="s">
        <v>322</v>
      </c>
      <c r="C156" s="2" t="s">
        <v>46</v>
      </c>
      <c r="D156" s="2" t="str">
        <f>IFERROR(VLOOKUP(C156,'ATP - Keywords'!$B:$B,1,FALSE),"#N/A")</f>
        <v>Unbranded Condition</v>
      </c>
      <c r="E156" s="2" t="s">
        <v>155</v>
      </c>
      <c r="F156" s="2" t="str">
        <f>IFERROR(VLOOKUP(E156,'ATP - Keywords'!$C:$C,1,FALSE),"#N/A")</f>
        <v>relapsed refractory large b cell lymphoma</v>
      </c>
      <c r="G156" s="2" t="s">
        <v>269</v>
      </c>
      <c r="H156" s="2" t="s">
        <v>335</v>
      </c>
      <c r="I156" s="2" t="s">
        <v>69</v>
      </c>
      <c r="J156" s="2" t="str">
        <f>IFERROR(VLOOKUP(I156,'ATP - Keywords'!$E:$E,1,FALSE),"#N/A")</f>
        <v>https://www.columvi.com/about/what-is-DLBCL.html</v>
      </c>
      <c r="K156" s="2" t="str">
        <f t="shared" si="2"/>
        <v>https://www.columvi.com/about/what-is-DLBCL.html?c=gft-1890321fc12</v>
      </c>
      <c r="L156" s="2" t="b">
        <v>1</v>
      </c>
      <c r="M156" s="2" t="s">
        <v>5</v>
      </c>
    </row>
    <row r="157" spans="1:13" ht="15.75" customHeight="1" x14ac:dyDescent="0.3">
      <c r="A157" s="2" t="s">
        <v>321</v>
      </c>
      <c r="B157" s="2" t="s">
        <v>322</v>
      </c>
      <c r="C157" s="2" t="s">
        <v>46</v>
      </c>
      <c r="D157" s="2" t="str">
        <f>IFERROR(VLOOKUP(C157,'ATP - Keywords'!$B:$B,1,FALSE),"#N/A")</f>
        <v>Unbranded Condition</v>
      </c>
      <c r="E157" s="2" t="s">
        <v>156</v>
      </c>
      <c r="F157" s="2" t="str">
        <f>IFERROR(VLOOKUP(E157,'ATP - Keywords'!$C:$C,1,FALSE),"#N/A")</f>
        <v>types of relapsed refractory large b cell lymphoma</v>
      </c>
      <c r="G157" s="2" t="s">
        <v>269</v>
      </c>
      <c r="H157" s="2" t="s">
        <v>335</v>
      </c>
      <c r="I157" s="2" t="s">
        <v>69</v>
      </c>
      <c r="J157" s="2" t="str">
        <f>IFERROR(VLOOKUP(I157,'ATP - Keywords'!$E:$E,1,FALSE),"#N/A")</f>
        <v>https://www.columvi.com/about/what-is-DLBCL.html</v>
      </c>
      <c r="K157" s="2" t="str">
        <f t="shared" si="2"/>
        <v>https://www.columvi.com/about/what-is-DLBCL.html?c=gft-1890321fc12</v>
      </c>
      <c r="L157" s="2" t="b">
        <v>1</v>
      </c>
      <c r="M157" s="2" t="s">
        <v>5</v>
      </c>
    </row>
    <row r="158" spans="1:13" ht="15.75" customHeight="1" x14ac:dyDescent="0.3">
      <c r="A158" s="2" t="s">
        <v>321</v>
      </c>
      <c r="B158" s="2" t="s">
        <v>322</v>
      </c>
      <c r="C158" s="2" t="s">
        <v>46</v>
      </c>
      <c r="D158" s="2" t="str">
        <f>IFERROR(VLOOKUP(C158,'ATP - Keywords'!$B:$B,1,FALSE),"#N/A")</f>
        <v>Unbranded Condition</v>
      </c>
      <c r="E158" s="2" t="s">
        <v>157</v>
      </c>
      <c r="F158" s="2" t="str">
        <f>IFERROR(VLOOKUP(E158,'ATP - Keywords'!$C:$C,1,FALSE),"#N/A")</f>
        <v>about relapsed refractory large b cell lymphoma</v>
      </c>
      <c r="G158" s="2" t="s">
        <v>269</v>
      </c>
      <c r="H158" s="2" t="s">
        <v>335</v>
      </c>
      <c r="I158" s="2" t="s">
        <v>69</v>
      </c>
      <c r="J158" s="2" t="str">
        <f>IFERROR(VLOOKUP(I158,'ATP - Keywords'!$E:$E,1,FALSE),"#N/A")</f>
        <v>https://www.columvi.com/about/what-is-DLBCL.html</v>
      </c>
      <c r="K158" s="2" t="str">
        <f t="shared" si="2"/>
        <v>https://www.columvi.com/about/what-is-DLBCL.html?c=gft-1890321fc12</v>
      </c>
      <c r="L158" s="2" t="b">
        <v>1</v>
      </c>
      <c r="M158" s="2" t="s">
        <v>5</v>
      </c>
    </row>
    <row r="159" spans="1:13" ht="15.75" customHeight="1" x14ac:dyDescent="0.3">
      <c r="A159" s="2" t="s">
        <v>321</v>
      </c>
      <c r="B159" s="2" t="s">
        <v>322</v>
      </c>
      <c r="C159" s="2" t="s">
        <v>46</v>
      </c>
      <c r="D159" s="2" t="str">
        <f>IFERROR(VLOOKUP(C159,'ATP - Keywords'!$B:$B,1,FALSE),"#N/A")</f>
        <v>Unbranded Condition</v>
      </c>
      <c r="E159" s="2" t="s">
        <v>158</v>
      </c>
      <c r="F159" s="2" t="str">
        <f>IFERROR(VLOOKUP(E159,'ATP - Keywords'!$C:$C,1,FALSE),"#N/A")</f>
        <v>lbcl arising from follicular lymphoma</v>
      </c>
      <c r="G159" s="2" t="s">
        <v>269</v>
      </c>
      <c r="H159" s="2" t="s">
        <v>335</v>
      </c>
      <c r="I159" s="2" t="s">
        <v>69</v>
      </c>
      <c r="J159" s="2" t="str">
        <f>IFERROR(VLOOKUP(I159,'ATP - Keywords'!$E:$E,1,FALSE),"#N/A")</f>
        <v>https://www.columvi.com/about/what-is-DLBCL.html</v>
      </c>
      <c r="K159" s="2" t="str">
        <f t="shared" si="2"/>
        <v>https://www.columvi.com/about/what-is-DLBCL.html?c=gft-1890321fc12</v>
      </c>
      <c r="L159" s="2" t="b">
        <v>1</v>
      </c>
      <c r="M159" s="2" t="s">
        <v>5</v>
      </c>
    </row>
    <row r="160" spans="1:13" ht="15.75" customHeight="1" x14ac:dyDescent="0.3">
      <c r="A160" s="2" t="s">
        <v>321</v>
      </c>
      <c r="B160" s="2" t="s">
        <v>322</v>
      </c>
      <c r="C160" s="2" t="s">
        <v>46</v>
      </c>
      <c r="D160" s="2" t="str">
        <f>IFERROR(VLOOKUP(C160,'ATP - Keywords'!$B:$B,1,FALSE),"#N/A")</f>
        <v>Unbranded Condition</v>
      </c>
      <c r="E160" s="2" t="s">
        <v>159</v>
      </c>
      <c r="F160" s="2" t="str">
        <f>IFERROR(VLOOKUP(E160,'ATP - Keywords'!$C:$C,1,FALSE),"#N/A")</f>
        <v>non hodgkins relapsed refractory large b cell lymphoma</v>
      </c>
      <c r="G160" s="2" t="s">
        <v>269</v>
      </c>
      <c r="H160" s="2" t="s">
        <v>335</v>
      </c>
      <c r="I160" s="2" t="s">
        <v>69</v>
      </c>
      <c r="J160" s="2" t="str">
        <f>IFERROR(VLOOKUP(I160,'ATP - Keywords'!$E:$E,1,FALSE),"#N/A")</f>
        <v>https://www.columvi.com/about/what-is-DLBCL.html</v>
      </c>
      <c r="K160" s="2" t="str">
        <f t="shared" si="2"/>
        <v>https://www.columvi.com/about/what-is-DLBCL.html?c=gft-1890321fc12</v>
      </c>
      <c r="L160" s="2" t="b">
        <v>1</v>
      </c>
      <c r="M160" s="2" t="s">
        <v>5</v>
      </c>
    </row>
    <row r="161" spans="1:13" ht="15.75" customHeight="1" x14ac:dyDescent="0.3">
      <c r="A161" s="2" t="s">
        <v>321</v>
      </c>
      <c r="B161" s="2" t="s">
        <v>322</v>
      </c>
      <c r="C161" s="2" t="s">
        <v>46</v>
      </c>
      <c r="D161" s="2" t="str">
        <f>IFERROR(VLOOKUP(C161,'ATP - Keywords'!$B:$B,1,FALSE),"#N/A")</f>
        <v>Unbranded Condition</v>
      </c>
      <c r="E161" s="2" t="s">
        <v>160</v>
      </c>
      <c r="F161" s="2" t="str">
        <f>IFERROR(VLOOKUP(E161,'ATP - Keywords'!$C:$C,1,FALSE),"#N/A")</f>
        <v>nhl relapsed refractory large b cell lymphoma</v>
      </c>
      <c r="G161" s="2" t="s">
        <v>269</v>
      </c>
      <c r="H161" s="2" t="s">
        <v>335</v>
      </c>
      <c r="I161" s="2" t="s">
        <v>69</v>
      </c>
      <c r="J161" s="2" t="str">
        <f>IFERROR(VLOOKUP(I161,'ATP - Keywords'!$E:$E,1,FALSE),"#N/A")</f>
        <v>https://www.columvi.com/about/what-is-DLBCL.html</v>
      </c>
      <c r="K161" s="2" t="str">
        <f t="shared" si="2"/>
        <v>https://www.columvi.com/about/what-is-DLBCL.html?c=gft-1890321fc12</v>
      </c>
      <c r="L161" s="2" t="b">
        <v>1</v>
      </c>
      <c r="M161" s="2" t="s">
        <v>5</v>
      </c>
    </row>
    <row r="162" spans="1:13" ht="15.75" customHeight="1" x14ac:dyDescent="0.3">
      <c r="A162" s="2" t="s">
        <v>321</v>
      </c>
      <c r="B162" s="2" t="s">
        <v>322</v>
      </c>
      <c r="C162" s="2" t="s">
        <v>46</v>
      </c>
      <c r="D162" s="2" t="str">
        <f>IFERROR(VLOOKUP(C162,'ATP - Keywords'!$B:$B,1,FALSE),"#N/A")</f>
        <v>Unbranded Condition</v>
      </c>
      <c r="E162" s="2" t="s">
        <v>161</v>
      </c>
      <c r="F162" s="2" t="str">
        <f>IFERROR(VLOOKUP(E162,'ATP - Keywords'!$C:$C,1,FALSE),"#N/A")</f>
        <v>non hodgkins large b cell lymphoma</v>
      </c>
      <c r="G162" s="2" t="s">
        <v>269</v>
      </c>
      <c r="H162" s="2" t="s">
        <v>335</v>
      </c>
      <c r="I162" s="2" t="s">
        <v>69</v>
      </c>
      <c r="J162" s="2" t="str">
        <f>IFERROR(VLOOKUP(I162,'ATP - Keywords'!$E:$E,1,FALSE),"#N/A")</f>
        <v>https://www.columvi.com/about/what-is-DLBCL.html</v>
      </c>
      <c r="K162" s="2" t="str">
        <f t="shared" si="2"/>
        <v>https://www.columvi.com/about/what-is-DLBCL.html?c=gft-1890321fc12</v>
      </c>
      <c r="L162" s="2" t="b">
        <v>1</v>
      </c>
      <c r="M162" s="2" t="s">
        <v>5</v>
      </c>
    </row>
    <row r="163" spans="1:13" ht="15.75" customHeight="1" x14ac:dyDescent="0.3">
      <c r="A163" s="2" t="s">
        <v>321</v>
      </c>
      <c r="B163" s="2" t="s">
        <v>322</v>
      </c>
      <c r="C163" s="2" t="s">
        <v>46</v>
      </c>
      <c r="D163" s="2" t="str">
        <f>IFERROR(VLOOKUP(C163,'ATP - Keywords'!$B:$B,1,FALSE),"#N/A")</f>
        <v>Unbranded Condition</v>
      </c>
      <c r="E163" s="2" t="s">
        <v>162</v>
      </c>
      <c r="F163" s="2" t="str">
        <f>IFERROR(VLOOKUP(E163,'ATP - Keywords'!$C:$C,1,FALSE),"#N/A")</f>
        <v>nhl cancer</v>
      </c>
      <c r="G163" s="2" t="s">
        <v>269</v>
      </c>
      <c r="H163" s="2" t="s">
        <v>335</v>
      </c>
      <c r="I163" s="2" t="s">
        <v>69</v>
      </c>
      <c r="J163" s="2" t="str">
        <f>IFERROR(VLOOKUP(I163,'ATP - Keywords'!$E:$E,1,FALSE),"#N/A")</f>
        <v>https://www.columvi.com/about/what-is-DLBCL.html</v>
      </c>
      <c r="K163" s="2" t="str">
        <f t="shared" si="2"/>
        <v>https://www.columvi.com/about/what-is-DLBCL.html?c=gft-1890321fc12</v>
      </c>
      <c r="L163" s="2" t="b">
        <v>1</v>
      </c>
      <c r="M163" s="2" t="s">
        <v>5</v>
      </c>
    </row>
    <row r="164" spans="1:13" ht="15.75" customHeight="1" x14ac:dyDescent="0.3">
      <c r="A164" s="2" t="s">
        <v>321</v>
      </c>
      <c r="B164" s="2" t="s">
        <v>322</v>
      </c>
      <c r="C164" s="2" t="s">
        <v>46</v>
      </c>
      <c r="D164" s="2" t="str">
        <f>IFERROR(VLOOKUP(C164,'ATP - Keywords'!$B:$B,1,FALSE),"#N/A")</f>
        <v>Unbranded Condition</v>
      </c>
      <c r="E164" s="2" t="s">
        <v>163</v>
      </c>
      <c r="F164" s="2" t="str">
        <f>IFERROR(VLOOKUP(E164,'ATP - Keywords'!$C:$C,1,FALSE),"#N/A")</f>
        <v>large b cell non hodgkin's lymphoma</v>
      </c>
      <c r="G164" s="2" t="s">
        <v>269</v>
      </c>
      <c r="H164" s="2" t="s">
        <v>335</v>
      </c>
      <c r="I164" s="2" t="s">
        <v>69</v>
      </c>
      <c r="J164" s="2" t="str">
        <f>IFERROR(VLOOKUP(I164,'ATP - Keywords'!$E:$E,1,FALSE),"#N/A")</f>
        <v>https://www.columvi.com/about/what-is-DLBCL.html</v>
      </c>
      <c r="K164" s="2" t="str">
        <f t="shared" si="2"/>
        <v>https://www.columvi.com/about/what-is-DLBCL.html?c=gft-1890321fc12</v>
      </c>
      <c r="L164" s="2" t="b">
        <v>1</v>
      </c>
      <c r="M164" s="2" t="s">
        <v>5</v>
      </c>
    </row>
    <row r="165" spans="1:13" ht="15.75" customHeight="1" x14ac:dyDescent="0.3">
      <c r="A165" s="2" t="s">
        <v>321</v>
      </c>
      <c r="B165" s="2" t="s">
        <v>322</v>
      </c>
      <c r="C165" s="2" t="s">
        <v>46</v>
      </c>
      <c r="D165" s="2" t="str">
        <f>IFERROR(VLOOKUP(C165,'ATP - Keywords'!$B:$B,1,FALSE),"#N/A")</f>
        <v>Unbranded Condition</v>
      </c>
      <c r="E165" s="2" t="s">
        <v>164</v>
      </c>
      <c r="F165" s="2" t="str">
        <f>IFERROR(VLOOKUP(E165,'ATP - Keywords'!$C:$C,1,FALSE),"#N/A")</f>
        <v>dlbcl non hodgkin's lymphoma</v>
      </c>
      <c r="G165" s="2" t="s">
        <v>269</v>
      </c>
      <c r="H165" s="2" t="s">
        <v>335</v>
      </c>
      <c r="I165" s="2" t="s">
        <v>69</v>
      </c>
      <c r="J165" s="2" t="str">
        <f>IFERROR(VLOOKUP(I165,'ATP - Keywords'!$E:$E,1,FALSE),"#N/A")</f>
        <v>https://www.columvi.com/about/what-is-DLBCL.html</v>
      </c>
      <c r="K165" s="2" t="str">
        <f t="shared" si="2"/>
        <v>https://www.columvi.com/about/what-is-DLBCL.html?c=gft-1890321fc12</v>
      </c>
      <c r="L165" s="2" t="b">
        <v>1</v>
      </c>
      <c r="M165" s="2" t="s">
        <v>5</v>
      </c>
    </row>
    <row r="166" spans="1:13" ht="15.75" customHeight="1" x14ac:dyDescent="0.3">
      <c r="A166" s="2" t="s">
        <v>321</v>
      </c>
      <c r="B166" s="2" t="s">
        <v>322</v>
      </c>
      <c r="C166" s="2" t="s">
        <v>46</v>
      </c>
      <c r="D166" s="2" t="str">
        <f>IFERROR(VLOOKUP(C166,'ATP - Keywords'!$B:$B,1,FALSE),"#N/A")</f>
        <v>Unbranded Condition</v>
      </c>
      <c r="E166" s="2" t="s">
        <v>165</v>
      </c>
      <c r="F166" s="2" t="str">
        <f>IFERROR(VLOOKUP(E166,'ATP - Keywords'!$C:$C,1,FALSE),"#N/A")</f>
        <v>non hodgkins dlbcl</v>
      </c>
      <c r="G166" s="2" t="s">
        <v>269</v>
      </c>
      <c r="H166" s="2" t="s">
        <v>335</v>
      </c>
      <c r="I166" s="2" t="s">
        <v>69</v>
      </c>
      <c r="J166" s="2" t="str">
        <f>IFERROR(VLOOKUP(I166,'ATP - Keywords'!$E:$E,1,FALSE),"#N/A")</f>
        <v>https://www.columvi.com/about/what-is-DLBCL.html</v>
      </c>
      <c r="K166" s="2" t="str">
        <f t="shared" si="2"/>
        <v>https://www.columvi.com/about/what-is-DLBCL.html?c=gft-1890321fc12</v>
      </c>
      <c r="L166" s="2" t="b">
        <v>1</v>
      </c>
      <c r="M166" s="2" t="s">
        <v>5</v>
      </c>
    </row>
    <row r="167" spans="1:13" ht="15.75" customHeight="1" x14ac:dyDescent="0.3">
      <c r="A167" s="2" t="s">
        <v>321</v>
      </c>
      <c r="B167" s="2" t="s">
        <v>322</v>
      </c>
      <c r="C167" s="2" t="s">
        <v>46</v>
      </c>
      <c r="D167" s="2" t="str">
        <f>IFERROR(VLOOKUP(C167,'ATP - Keywords'!$B:$B,1,FALSE),"#N/A")</f>
        <v>Unbranded Condition</v>
      </c>
      <c r="E167" s="2" t="s">
        <v>166</v>
      </c>
      <c r="F167" s="2" t="str">
        <f>IFERROR(VLOOKUP(E167,'ATP - Keywords'!$C:$C,1,FALSE),"#N/A")</f>
        <v>nhl large b cell lymphoma</v>
      </c>
      <c r="G167" s="2" t="s">
        <v>269</v>
      </c>
      <c r="H167" s="2" t="s">
        <v>335</v>
      </c>
      <c r="I167" s="2" t="s">
        <v>69</v>
      </c>
      <c r="J167" s="2" t="str">
        <f>IFERROR(VLOOKUP(I167,'ATP - Keywords'!$E:$E,1,FALSE),"#N/A")</f>
        <v>https://www.columvi.com/about/what-is-DLBCL.html</v>
      </c>
      <c r="K167" s="2" t="str">
        <f t="shared" si="2"/>
        <v>https://www.columvi.com/about/what-is-DLBCL.html?c=gft-1890321fc12</v>
      </c>
      <c r="L167" s="2" t="b">
        <v>1</v>
      </c>
      <c r="M167" s="2" t="s">
        <v>5</v>
      </c>
    </row>
    <row r="168" spans="1:13" ht="15.75" customHeight="1" x14ac:dyDescent="0.3">
      <c r="A168" s="2" t="s">
        <v>321</v>
      </c>
      <c r="B168" s="2" t="s">
        <v>322</v>
      </c>
      <c r="C168" s="2" t="s">
        <v>46</v>
      </c>
      <c r="D168" s="2" t="str">
        <f>IFERROR(VLOOKUP(C168,'ATP - Keywords'!$B:$B,1,FALSE),"#N/A")</f>
        <v>Unbranded Condition</v>
      </c>
      <c r="E168" s="2" t="s">
        <v>167</v>
      </c>
      <c r="F168" s="2" t="str">
        <f>IFERROR(VLOOKUP(E168,'ATP - Keywords'!$C:$C,1,FALSE),"#N/A")</f>
        <v>nhl dlbcl</v>
      </c>
      <c r="G168" s="2" t="s">
        <v>269</v>
      </c>
      <c r="H168" s="2" t="s">
        <v>335</v>
      </c>
      <c r="I168" s="2" t="s">
        <v>69</v>
      </c>
      <c r="J168" s="2" t="str">
        <f>IFERROR(VLOOKUP(I168,'ATP - Keywords'!$E:$E,1,FALSE),"#N/A")</f>
        <v>https://www.columvi.com/about/what-is-DLBCL.html</v>
      </c>
      <c r="K168" s="2" t="str">
        <f t="shared" si="2"/>
        <v>https://www.columvi.com/about/what-is-DLBCL.html?c=gft-1890321fc12</v>
      </c>
      <c r="L168" s="2" t="b">
        <v>1</v>
      </c>
      <c r="M168" s="2" t="s">
        <v>5</v>
      </c>
    </row>
    <row r="169" spans="1:13" ht="15.75" customHeight="1" x14ac:dyDescent="0.3">
      <c r="A169" s="2" t="s">
        <v>321</v>
      </c>
      <c r="B169" s="2" t="s">
        <v>322</v>
      </c>
      <c r="C169" s="2" t="s">
        <v>46</v>
      </c>
      <c r="D169" s="2" t="str">
        <f>IFERROR(VLOOKUP(C169,'ATP - Keywords'!$B:$B,1,FALSE),"#N/A")</f>
        <v>Unbranded Condition</v>
      </c>
      <c r="E169" s="2" t="s">
        <v>168</v>
      </c>
      <c r="F169" s="2" t="str">
        <f>IFERROR(VLOOKUP(E169,'ATP - Keywords'!$C:$C,1,FALSE),"#N/A")</f>
        <v>nhl lymphoma</v>
      </c>
      <c r="G169" s="2" t="s">
        <v>269</v>
      </c>
      <c r="H169" s="2" t="s">
        <v>335</v>
      </c>
      <c r="I169" s="2" t="s">
        <v>69</v>
      </c>
      <c r="J169" s="2" t="str">
        <f>IFERROR(VLOOKUP(I169,'ATP - Keywords'!$E:$E,1,FALSE),"#N/A")</f>
        <v>https://www.columvi.com/about/what-is-DLBCL.html</v>
      </c>
      <c r="K169" s="2" t="str">
        <f t="shared" si="2"/>
        <v>https://www.columvi.com/about/what-is-DLBCL.html?c=gft-1890321fc12</v>
      </c>
      <c r="L169" s="2" t="b">
        <v>1</v>
      </c>
      <c r="M169" s="2" t="s">
        <v>5</v>
      </c>
    </row>
    <row r="170" spans="1:13" ht="15.75" customHeight="1" x14ac:dyDescent="0.3">
      <c r="A170" s="2" t="s">
        <v>321</v>
      </c>
      <c r="B170" s="2" t="s">
        <v>322</v>
      </c>
      <c r="C170" s="2" t="s">
        <v>46</v>
      </c>
      <c r="D170" s="2" t="str">
        <f>IFERROR(VLOOKUP(C170,'ATP - Keywords'!$B:$B,1,FALSE),"#N/A")</f>
        <v>Unbranded Condition</v>
      </c>
      <c r="E170" s="2" t="s">
        <v>169</v>
      </c>
      <c r="F170" s="2" t="str">
        <f>IFERROR(VLOOKUP(E170,'ATP - Keywords'!$C:$C,1,FALSE),"#N/A")</f>
        <v>non hodgkins lymphoma</v>
      </c>
      <c r="G170" s="2" t="s">
        <v>269</v>
      </c>
      <c r="H170" s="2" t="s">
        <v>335</v>
      </c>
      <c r="I170" s="2" t="s">
        <v>69</v>
      </c>
      <c r="J170" s="2" t="str">
        <f>IFERROR(VLOOKUP(I170,'ATP - Keywords'!$E:$E,1,FALSE),"#N/A")</f>
        <v>https://www.columvi.com/about/what-is-DLBCL.html</v>
      </c>
      <c r="K170" s="2" t="str">
        <f t="shared" si="2"/>
        <v>https://www.columvi.com/about/what-is-DLBCL.html?c=gft-1890321fc12</v>
      </c>
      <c r="L170" s="2" t="b">
        <v>1</v>
      </c>
      <c r="M170" s="2" t="s">
        <v>5</v>
      </c>
    </row>
    <row r="171" spans="1:13" ht="15.75" customHeight="1" x14ac:dyDescent="0.3">
      <c r="A171" s="2" t="s">
        <v>321</v>
      </c>
      <c r="B171" s="2" t="s">
        <v>322</v>
      </c>
      <c r="C171" s="2" t="s">
        <v>46</v>
      </c>
      <c r="D171" s="2" t="str">
        <f>IFERROR(VLOOKUP(C171,'ATP - Keywords'!$B:$B,1,FALSE),"#N/A")</f>
        <v>Unbranded Condition</v>
      </c>
      <c r="E171" s="2" t="s">
        <v>170</v>
      </c>
      <c r="F171" s="2" t="str">
        <f>IFERROR(VLOOKUP(E171,'ATP - Keywords'!$C:$C,1,FALSE),"#N/A")</f>
        <v>non hodgkins b cell lymphoma</v>
      </c>
      <c r="G171" s="2" t="s">
        <v>269</v>
      </c>
      <c r="H171" s="2" t="s">
        <v>335</v>
      </c>
      <c r="I171" s="2" t="s">
        <v>69</v>
      </c>
      <c r="J171" s="2" t="str">
        <f>IFERROR(VLOOKUP(I171,'ATP - Keywords'!$E:$E,1,FALSE),"#N/A")</f>
        <v>https://www.columvi.com/about/what-is-DLBCL.html</v>
      </c>
      <c r="K171" s="2" t="str">
        <f t="shared" si="2"/>
        <v>https://www.columvi.com/about/what-is-DLBCL.html?c=gft-1890321fc12</v>
      </c>
      <c r="L171" s="2" t="b">
        <v>1</v>
      </c>
      <c r="M171" s="2" t="s">
        <v>5</v>
      </c>
    </row>
    <row r="172" spans="1:13" ht="15.75" customHeight="1" x14ac:dyDescent="0.3">
      <c r="A172" s="2" t="s">
        <v>321</v>
      </c>
      <c r="B172" s="2" t="s">
        <v>322</v>
      </c>
      <c r="C172" s="2" t="s">
        <v>46</v>
      </c>
      <c r="D172" s="2" t="str">
        <f>IFERROR(VLOOKUP(C172,'ATP - Keywords'!$B:$B,1,FALSE),"#N/A")</f>
        <v>Unbranded Condition</v>
      </c>
      <c r="E172" s="2" t="s">
        <v>171</v>
      </c>
      <c r="F172" s="2" t="str">
        <f>IFERROR(VLOOKUP(E172,'ATP - Keywords'!$C:$C,1,FALSE),"#N/A")</f>
        <v>non-hodgkin lymphoma</v>
      </c>
      <c r="G172" s="2" t="s">
        <v>269</v>
      </c>
      <c r="H172" s="2" t="s">
        <v>335</v>
      </c>
      <c r="I172" s="2" t="s">
        <v>69</v>
      </c>
      <c r="J172" s="2" t="str">
        <f>IFERROR(VLOOKUP(I172,'ATP - Keywords'!$E:$E,1,FALSE),"#N/A")</f>
        <v>https://www.columvi.com/about/what-is-DLBCL.html</v>
      </c>
      <c r="K172" s="2" t="str">
        <f t="shared" si="2"/>
        <v>https://www.columvi.com/about/what-is-DLBCL.html?c=gft-1890321fc12</v>
      </c>
      <c r="L172" s="2" t="b">
        <v>1</v>
      </c>
      <c r="M172" s="2" t="s">
        <v>5</v>
      </c>
    </row>
    <row r="173" spans="1:13" ht="15.75" customHeight="1" x14ac:dyDescent="0.3">
      <c r="A173" s="2" t="s">
        <v>321</v>
      </c>
      <c r="B173" s="2" t="s">
        <v>323</v>
      </c>
      <c r="C173" s="2" t="s">
        <v>71</v>
      </c>
      <c r="D173" s="2" t="str">
        <f>IFERROR(VLOOKUP(C173,'ATP - Keywords'!$B:$B,1,FALSE),"#N/A")</f>
        <v>Unbranded DLBCL Causes</v>
      </c>
      <c r="E173" s="2" t="s">
        <v>172</v>
      </c>
      <c r="F173" s="2" t="str">
        <f>IFERROR(VLOOKUP(E173,'ATP - Keywords'!$C:$C,1,FALSE),"#N/A")</f>
        <v>dlbcl causes</v>
      </c>
      <c r="G173" s="2" t="s">
        <v>269</v>
      </c>
      <c r="H173" s="2" t="s">
        <v>335</v>
      </c>
      <c r="I173" s="2" t="s">
        <v>69</v>
      </c>
      <c r="J173" s="2" t="str">
        <f>IFERROR(VLOOKUP(I173,'ATP - Keywords'!$E:$E,1,FALSE),"#N/A")</f>
        <v>https://www.columvi.com/about/what-is-DLBCL.html</v>
      </c>
      <c r="K173" s="2" t="str">
        <f t="shared" si="2"/>
        <v>https://www.columvi.com/about/what-is-DLBCL.html?c=gft-1890321fc12</v>
      </c>
      <c r="L173" s="2" t="b">
        <v>1</v>
      </c>
      <c r="M173" s="2" t="s">
        <v>5</v>
      </c>
    </row>
    <row r="174" spans="1:13" ht="15.75" customHeight="1" x14ac:dyDescent="0.3">
      <c r="A174" s="2" t="s">
        <v>321</v>
      </c>
      <c r="B174" s="2" t="s">
        <v>323</v>
      </c>
      <c r="C174" s="2" t="s">
        <v>71</v>
      </c>
      <c r="D174" s="2" t="str">
        <f>IFERROR(VLOOKUP(C174,'ATP - Keywords'!$B:$B,1,FALSE),"#N/A")</f>
        <v>Unbranded DLBCL Causes</v>
      </c>
      <c r="E174" s="2" t="s">
        <v>173</v>
      </c>
      <c r="F174" s="2" t="str">
        <f>IFERROR(VLOOKUP(E174,'ATP - Keywords'!$C:$C,1,FALSE),"#N/A")</f>
        <v>large b cell lymphoma causes</v>
      </c>
      <c r="G174" s="2" t="s">
        <v>269</v>
      </c>
      <c r="H174" s="2" t="s">
        <v>335</v>
      </c>
      <c r="I174" s="2" t="s">
        <v>69</v>
      </c>
      <c r="J174" s="2" t="str">
        <f>IFERROR(VLOOKUP(I174,'ATP - Keywords'!$E:$E,1,FALSE),"#N/A")</f>
        <v>https://www.columvi.com/about/what-is-DLBCL.html</v>
      </c>
      <c r="K174" s="2" t="str">
        <f t="shared" si="2"/>
        <v>https://www.columvi.com/about/what-is-DLBCL.html?c=gft-1890321fc12</v>
      </c>
      <c r="L174" s="2" t="b">
        <v>1</v>
      </c>
      <c r="M174" s="2" t="s">
        <v>5</v>
      </c>
    </row>
    <row r="175" spans="1:13" ht="15.75" customHeight="1" x14ac:dyDescent="0.3">
      <c r="A175" s="2" t="s">
        <v>321</v>
      </c>
      <c r="B175" s="2" t="s">
        <v>323</v>
      </c>
      <c r="C175" s="2" t="s">
        <v>71</v>
      </c>
      <c r="D175" s="2" t="str">
        <f>IFERROR(VLOOKUP(C175,'ATP - Keywords'!$B:$B,1,FALSE),"#N/A")</f>
        <v>Unbranded DLBCL Causes</v>
      </c>
      <c r="E175" s="2" t="s">
        <v>174</v>
      </c>
      <c r="F175" s="2" t="str">
        <f>IFERROR(VLOOKUP(E175,'ATP - Keywords'!$C:$C,1,FALSE),"#N/A")</f>
        <v>what causes dlbcl</v>
      </c>
      <c r="G175" s="2" t="s">
        <v>269</v>
      </c>
      <c r="H175" s="2" t="s">
        <v>335</v>
      </c>
      <c r="I175" s="2" t="s">
        <v>69</v>
      </c>
      <c r="J175" s="2" t="str">
        <f>IFERROR(VLOOKUP(I175,'ATP - Keywords'!$E:$E,1,FALSE),"#N/A")</f>
        <v>https://www.columvi.com/about/what-is-DLBCL.html</v>
      </c>
      <c r="K175" s="2" t="str">
        <f t="shared" si="2"/>
        <v>https://www.columvi.com/about/what-is-DLBCL.html?c=gft-1890321fc12</v>
      </c>
      <c r="L175" s="2" t="b">
        <v>1</v>
      </c>
      <c r="M175" s="2" t="s">
        <v>5</v>
      </c>
    </row>
    <row r="176" spans="1:13" ht="15.75" customHeight="1" x14ac:dyDescent="0.3">
      <c r="A176" s="2" t="s">
        <v>321</v>
      </c>
      <c r="B176" s="2" t="s">
        <v>323</v>
      </c>
      <c r="C176" s="2" t="s">
        <v>71</v>
      </c>
      <c r="D176" s="2" t="str">
        <f>IFERROR(VLOOKUP(C176,'ATP - Keywords'!$B:$B,1,FALSE),"#N/A")</f>
        <v>Unbranded DLBCL Causes</v>
      </c>
      <c r="E176" s="2" t="s">
        <v>175</v>
      </c>
      <c r="F176" s="2" t="str">
        <f>IFERROR(VLOOKUP(E176,'ATP - Keywords'!$C:$C,1,FALSE),"#N/A")</f>
        <v>what causes large b cell lymphoma</v>
      </c>
      <c r="G176" s="2" t="s">
        <v>269</v>
      </c>
      <c r="H176" s="2" t="s">
        <v>335</v>
      </c>
      <c r="I176" s="2" t="s">
        <v>69</v>
      </c>
      <c r="J176" s="2" t="str">
        <f>IFERROR(VLOOKUP(I176,'ATP - Keywords'!$E:$E,1,FALSE),"#N/A")</f>
        <v>https://www.columvi.com/about/what-is-DLBCL.html</v>
      </c>
      <c r="K176" s="2" t="str">
        <f t="shared" si="2"/>
        <v>https://www.columvi.com/about/what-is-DLBCL.html?c=gft-1890321fc12</v>
      </c>
      <c r="L176" s="2" t="b">
        <v>1</v>
      </c>
      <c r="M176" s="2" t="s">
        <v>5</v>
      </c>
    </row>
    <row r="177" spans="1:13" ht="15.75" customHeight="1" x14ac:dyDescent="0.3">
      <c r="A177" s="2" t="s">
        <v>321</v>
      </c>
      <c r="B177" s="2" t="s">
        <v>323</v>
      </c>
      <c r="C177" s="2" t="s">
        <v>71</v>
      </c>
      <c r="D177" s="2" t="str">
        <f>IFERROR(VLOOKUP(C177,'ATP - Keywords'!$B:$B,1,FALSE),"#N/A")</f>
        <v>Unbranded DLBCL Causes</v>
      </c>
      <c r="E177" s="2" t="s">
        <v>176</v>
      </c>
      <c r="F177" s="2" t="str">
        <f>IFERROR(VLOOKUP(E177,'ATP - Keywords'!$C:$C,1,FALSE),"#N/A")</f>
        <v>how do you get dlbcl</v>
      </c>
      <c r="G177" s="2" t="s">
        <v>269</v>
      </c>
      <c r="H177" s="2" t="s">
        <v>335</v>
      </c>
      <c r="I177" s="2" t="s">
        <v>69</v>
      </c>
      <c r="J177" s="2" t="str">
        <f>IFERROR(VLOOKUP(I177,'ATP - Keywords'!$E:$E,1,FALSE),"#N/A")</f>
        <v>https://www.columvi.com/about/what-is-DLBCL.html</v>
      </c>
      <c r="K177" s="2" t="str">
        <f t="shared" si="2"/>
        <v>https://www.columvi.com/about/what-is-DLBCL.html?c=gft-1890321fc12</v>
      </c>
      <c r="L177" s="2" t="b">
        <v>1</v>
      </c>
      <c r="M177" s="2" t="s">
        <v>5</v>
      </c>
    </row>
    <row r="178" spans="1:13" ht="15.75" customHeight="1" x14ac:dyDescent="0.3">
      <c r="A178" s="2" t="s">
        <v>321</v>
      </c>
      <c r="B178" s="2" t="s">
        <v>323</v>
      </c>
      <c r="C178" s="2" t="s">
        <v>71</v>
      </c>
      <c r="D178" s="2" t="str">
        <f>IFERROR(VLOOKUP(C178,'ATP - Keywords'!$B:$B,1,FALSE),"#N/A")</f>
        <v>Unbranded DLBCL Causes</v>
      </c>
      <c r="E178" s="2" t="s">
        <v>177</v>
      </c>
      <c r="F178" s="2" t="str">
        <f>IFERROR(VLOOKUP(E178,'ATP - Keywords'!$C:$C,1,FALSE),"#N/A")</f>
        <v>how do you get large b cell lymphoma</v>
      </c>
      <c r="G178" s="2" t="s">
        <v>269</v>
      </c>
      <c r="H178" s="2" t="s">
        <v>335</v>
      </c>
      <c r="I178" s="2" t="s">
        <v>69</v>
      </c>
      <c r="J178" s="2" t="str">
        <f>IFERROR(VLOOKUP(I178,'ATP - Keywords'!$E:$E,1,FALSE),"#N/A")</f>
        <v>https://www.columvi.com/about/what-is-DLBCL.html</v>
      </c>
      <c r="K178" s="2" t="str">
        <f t="shared" si="2"/>
        <v>https://www.columvi.com/about/what-is-DLBCL.html?c=gft-1890321fc12</v>
      </c>
      <c r="L178" s="2" t="b">
        <v>1</v>
      </c>
      <c r="M178" s="2" t="s">
        <v>5</v>
      </c>
    </row>
    <row r="179" spans="1:13" ht="15.75" customHeight="1" x14ac:dyDescent="0.3">
      <c r="A179" s="2" t="s">
        <v>321</v>
      </c>
      <c r="B179" s="2" t="s">
        <v>323</v>
      </c>
      <c r="C179" s="2" t="s">
        <v>71</v>
      </c>
      <c r="D179" s="2" t="str">
        <f>IFERROR(VLOOKUP(C179,'ATP - Keywords'!$B:$B,1,FALSE),"#N/A")</f>
        <v>Unbranded DLBCL Causes</v>
      </c>
      <c r="E179" s="2" t="s">
        <v>178</v>
      </c>
      <c r="F179" s="2" t="str">
        <f>IFERROR(VLOOKUP(E179,'ATP - Keywords'!$C:$C,1,FALSE),"#N/A")</f>
        <v>who gets large b cell lymphoma</v>
      </c>
      <c r="G179" s="2" t="s">
        <v>269</v>
      </c>
      <c r="H179" s="2" t="s">
        <v>335</v>
      </c>
      <c r="I179" s="2" t="s">
        <v>69</v>
      </c>
      <c r="J179" s="2" t="str">
        <f>IFERROR(VLOOKUP(I179,'ATP - Keywords'!$E:$E,1,FALSE),"#N/A")</f>
        <v>https://www.columvi.com/about/what-is-DLBCL.html</v>
      </c>
      <c r="K179" s="2" t="str">
        <f t="shared" si="2"/>
        <v>https://www.columvi.com/about/what-is-DLBCL.html?c=gft-1890321fc12</v>
      </c>
      <c r="L179" s="2" t="b">
        <v>1</v>
      </c>
      <c r="M179" s="2" t="s">
        <v>5</v>
      </c>
    </row>
    <row r="180" spans="1:13" ht="15.75" customHeight="1" x14ac:dyDescent="0.3">
      <c r="A180" s="2" t="s">
        <v>321</v>
      </c>
      <c r="B180" s="2" t="s">
        <v>323</v>
      </c>
      <c r="C180" s="2" t="s">
        <v>71</v>
      </c>
      <c r="D180" s="2" t="str">
        <f>IFERROR(VLOOKUP(C180,'ATP - Keywords'!$B:$B,1,FALSE),"#N/A")</f>
        <v>Unbranded DLBCL Causes</v>
      </c>
      <c r="E180" s="2" t="s">
        <v>179</v>
      </c>
      <c r="F180" s="2" t="str">
        <f>IFERROR(VLOOKUP(E180,'ATP - Keywords'!$C:$C,1,FALSE),"#N/A")</f>
        <v>what is the cause of diffuse large b cell lymphoma</v>
      </c>
      <c r="G180" s="2" t="s">
        <v>269</v>
      </c>
      <c r="H180" s="2" t="s">
        <v>335</v>
      </c>
      <c r="I180" s="2" t="s">
        <v>69</v>
      </c>
      <c r="J180" s="2" t="str">
        <f>IFERROR(VLOOKUP(I180,'ATP - Keywords'!$E:$E,1,FALSE),"#N/A")</f>
        <v>https://www.columvi.com/about/what-is-DLBCL.html</v>
      </c>
      <c r="K180" s="2" t="str">
        <f t="shared" si="2"/>
        <v>https://www.columvi.com/about/what-is-DLBCL.html?c=gft-1890321fc12</v>
      </c>
      <c r="L180" s="2" t="b">
        <v>1</v>
      </c>
      <c r="M180" s="2" t="s">
        <v>5</v>
      </c>
    </row>
    <row r="181" spans="1:13" ht="15.75" customHeight="1" x14ac:dyDescent="0.3">
      <c r="A181" s="2" t="s">
        <v>321</v>
      </c>
      <c r="B181" s="2" t="s">
        <v>323</v>
      </c>
      <c r="C181" s="2" t="s">
        <v>71</v>
      </c>
      <c r="D181" s="2" t="str">
        <f>IFERROR(VLOOKUP(C181,'ATP - Keywords'!$B:$B,1,FALSE),"#N/A")</f>
        <v>Unbranded DLBCL Causes</v>
      </c>
      <c r="E181" s="2" t="s">
        <v>180</v>
      </c>
      <c r="F181" s="2" t="str">
        <f>IFERROR(VLOOKUP(E181,'ATP - Keywords'!$C:$C,1,FALSE),"#N/A")</f>
        <v>how does dlbcl develop</v>
      </c>
      <c r="G181" s="2" t="s">
        <v>269</v>
      </c>
      <c r="H181" s="2" t="s">
        <v>335</v>
      </c>
      <c r="I181" s="2" t="s">
        <v>69</v>
      </c>
      <c r="J181" s="2" t="str">
        <f>IFERROR(VLOOKUP(I181,'ATP - Keywords'!$E:$E,1,FALSE),"#N/A")</f>
        <v>https://www.columvi.com/about/what-is-DLBCL.html</v>
      </c>
      <c r="K181" s="2" t="str">
        <f t="shared" si="2"/>
        <v>https://www.columvi.com/about/what-is-DLBCL.html?c=gft-1890321fc12</v>
      </c>
      <c r="L181" s="2" t="b">
        <v>1</v>
      </c>
      <c r="M181" s="2" t="s">
        <v>5</v>
      </c>
    </row>
    <row r="182" spans="1:13" ht="15.75" customHeight="1" x14ac:dyDescent="0.3">
      <c r="A182" s="2" t="s">
        <v>321</v>
      </c>
      <c r="B182" s="2" t="s">
        <v>323</v>
      </c>
      <c r="C182" s="2" t="s">
        <v>71</v>
      </c>
      <c r="D182" s="2" t="str">
        <f>IFERROR(VLOOKUP(C182,'ATP - Keywords'!$B:$B,1,FALSE),"#N/A")</f>
        <v>Unbranded DLBCL Causes</v>
      </c>
      <c r="E182" s="2" t="s">
        <v>181</v>
      </c>
      <c r="F182" s="2" t="str">
        <f>IFERROR(VLOOKUP(E182,'ATP - Keywords'!$C:$C,1,FALSE),"#N/A")</f>
        <v>development of dlbcl</v>
      </c>
      <c r="G182" s="2" t="s">
        <v>269</v>
      </c>
      <c r="H182" s="2" t="s">
        <v>335</v>
      </c>
      <c r="I182" s="2" t="s">
        <v>69</v>
      </c>
      <c r="J182" s="2" t="str">
        <f>IFERROR(VLOOKUP(I182,'ATP - Keywords'!$E:$E,1,FALSE),"#N/A")</f>
        <v>https://www.columvi.com/about/what-is-DLBCL.html</v>
      </c>
      <c r="K182" s="2" t="str">
        <f t="shared" si="2"/>
        <v>https://www.columvi.com/about/what-is-DLBCL.html?c=gft-1890321fc12</v>
      </c>
      <c r="L182" s="2" t="b">
        <v>1</v>
      </c>
      <c r="M182" s="2" t="s">
        <v>5</v>
      </c>
    </row>
    <row r="183" spans="1:13" ht="15.75" customHeight="1" x14ac:dyDescent="0.3">
      <c r="A183" s="2" t="s">
        <v>321</v>
      </c>
      <c r="B183" s="2" t="s">
        <v>323</v>
      </c>
      <c r="C183" s="2" t="s">
        <v>71</v>
      </c>
      <c r="D183" s="2" t="str">
        <f>IFERROR(VLOOKUP(C183,'ATP - Keywords'!$B:$B,1,FALSE),"#N/A")</f>
        <v>Unbranded DLBCL Causes</v>
      </c>
      <c r="E183" s="2" t="s">
        <v>182</v>
      </c>
      <c r="F183" s="2" t="str">
        <f>IFERROR(VLOOKUP(E183,'ATP - Keywords'!$C:$C,1,FALSE),"#N/A")</f>
        <v>what causes relapsed or refractory dlbcl</v>
      </c>
      <c r="G183" s="2" t="s">
        <v>269</v>
      </c>
      <c r="H183" s="2" t="s">
        <v>335</v>
      </c>
      <c r="I183" s="2" t="s">
        <v>69</v>
      </c>
      <c r="J183" s="2" t="str">
        <f>IFERROR(VLOOKUP(I183,'ATP - Keywords'!$E:$E,1,FALSE),"#N/A")</f>
        <v>https://www.columvi.com/about/what-is-DLBCL.html</v>
      </c>
      <c r="K183" s="2" t="str">
        <f t="shared" si="2"/>
        <v>https://www.columvi.com/about/what-is-DLBCL.html?c=gft-1890321fc12</v>
      </c>
      <c r="L183" s="2" t="b">
        <v>1</v>
      </c>
      <c r="M183" s="2" t="s">
        <v>5</v>
      </c>
    </row>
    <row r="184" spans="1:13" ht="15.75" customHeight="1" x14ac:dyDescent="0.3">
      <c r="A184" s="2" t="s">
        <v>321</v>
      </c>
      <c r="B184" s="2" t="s">
        <v>323</v>
      </c>
      <c r="C184" s="2" t="s">
        <v>71</v>
      </c>
      <c r="D184" s="2" t="str">
        <f>IFERROR(VLOOKUP(C184,'ATP - Keywords'!$B:$B,1,FALSE),"#N/A")</f>
        <v>Unbranded DLBCL Causes</v>
      </c>
      <c r="E184" s="2" t="s">
        <v>183</v>
      </c>
      <c r="F184" s="2" t="str">
        <f>IFERROR(VLOOKUP(E184,'ATP - Keywords'!$C:$C,1,FALSE),"#N/A")</f>
        <v>causes of r/r dlbcl</v>
      </c>
      <c r="G184" s="2" t="s">
        <v>269</v>
      </c>
      <c r="H184" s="2" t="s">
        <v>335</v>
      </c>
      <c r="I184" s="2" t="s">
        <v>69</v>
      </c>
      <c r="J184" s="2" t="str">
        <f>IFERROR(VLOOKUP(I184,'ATP - Keywords'!$E:$E,1,FALSE),"#N/A")</f>
        <v>https://www.columvi.com/about/what-is-DLBCL.html</v>
      </c>
      <c r="K184" s="2" t="str">
        <f t="shared" si="2"/>
        <v>https://www.columvi.com/about/what-is-DLBCL.html?c=gft-1890321fc12</v>
      </c>
      <c r="L184" s="2" t="b">
        <v>1</v>
      </c>
      <c r="M184" s="2" t="s">
        <v>5</v>
      </c>
    </row>
    <row r="185" spans="1:13" ht="15.75" customHeight="1" x14ac:dyDescent="0.3">
      <c r="A185" s="2" t="s">
        <v>321</v>
      </c>
      <c r="B185" s="2" t="s">
        <v>324</v>
      </c>
      <c r="C185" s="2" t="s">
        <v>76</v>
      </c>
      <c r="D185" s="2" t="str">
        <f>IFERROR(VLOOKUP(C185,'ATP - Keywords'!$B:$B,1,FALSE),"#N/A")</f>
        <v>Unbranded DLBCL Diagnosis</v>
      </c>
      <c r="E185" s="2" t="s">
        <v>184</v>
      </c>
      <c r="F185" s="2" t="str">
        <f>IFERROR(VLOOKUP(E185,'ATP - Keywords'!$C:$C,1,FALSE),"#N/A")</f>
        <v>large b cell lymphoma diagnosis</v>
      </c>
      <c r="G185" s="2" t="s">
        <v>269</v>
      </c>
      <c r="H185" s="2" t="s">
        <v>335</v>
      </c>
      <c r="I185" s="2" t="s">
        <v>69</v>
      </c>
      <c r="J185" s="2" t="str">
        <f>IFERROR(VLOOKUP(I185,'ATP - Keywords'!$E:$E,1,FALSE),"#N/A")</f>
        <v>https://www.columvi.com/about/what-is-DLBCL.html</v>
      </c>
      <c r="K185" s="2" t="str">
        <f t="shared" si="2"/>
        <v>https://www.columvi.com/about/what-is-DLBCL.html?c=gft-1890321fc12</v>
      </c>
      <c r="L185" s="2" t="b">
        <v>1</v>
      </c>
      <c r="M185" s="2" t="s">
        <v>5</v>
      </c>
    </row>
    <row r="186" spans="1:13" ht="15.75" customHeight="1" x14ac:dyDescent="0.3">
      <c r="A186" s="2" t="s">
        <v>321</v>
      </c>
      <c r="B186" s="2" t="s">
        <v>324</v>
      </c>
      <c r="C186" s="2" t="s">
        <v>76</v>
      </c>
      <c r="D186" s="2" t="str">
        <f>IFERROR(VLOOKUP(C186,'ATP - Keywords'!$B:$B,1,FALSE),"#N/A")</f>
        <v>Unbranded DLBCL Diagnosis</v>
      </c>
      <c r="E186" s="2" t="s">
        <v>185</v>
      </c>
      <c r="F186" s="2" t="str">
        <f>IFERROR(VLOOKUP(E186,'ATP - Keywords'!$C:$C,1,FALSE),"#N/A")</f>
        <v>dlbcl diagnosis</v>
      </c>
      <c r="G186" s="2" t="s">
        <v>269</v>
      </c>
      <c r="H186" s="2" t="s">
        <v>335</v>
      </c>
      <c r="I186" s="2" t="s">
        <v>69</v>
      </c>
      <c r="J186" s="2" t="str">
        <f>IFERROR(VLOOKUP(I186,'ATP - Keywords'!$E:$E,1,FALSE),"#N/A")</f>
        <v>https://www.columvi.com/about/what-is-DLBCL.html</v>
      </c>
      <c r="K186" s="2" t="str">
        <f t="shared" si="2"/>
        <v>https://www.columvi.com/about/what-is-DLBCL.html?c=gft-1890321fc12</v>
      </c>
      <c r="L186" s="2" t="b">
        <v>1</v>
      </c>
      <c r="M186" s="2" t="s">
        <v>5</v>
      </c>
    </row>
    <row r="187" spans="1:13" ht="15.75" customHeight="1" x14ac:dyDescent="0.3">
      <c r="A187" s="2" t="s">
        <v>321</v>
      </c>
      <c r="B187" s="2" t="s">
        <v>324</v>
      </c>
      <c r="C187" s="2" t="s">
        <v>76</v>
      </c>
      <c r="D187" s="2" t="str">
        <f>IFERROR(VLOOKUP(C187,'ATP - Keywords'!$B:$B,1,FALSE),"#N/A")</f>
        <v>Unbranded DLBCL Diagnosis</v>
      </c>
      <c r="E187" s="2" t="s">
        <v>186</v>
      </c>
      <c r="F187" s="2" t="str">
        <f>IFERROR(VLOOKUP(E187,'ATP - Keywords'!$C:$C,1,FALSE),"#N/A")</f>
        <v>diagnosed with large b cell lymphoma</v>
      </c>
      <c r="G187" s="2" t="s">
        <v>269</v>
      </c>
      <c r="H187" s="2" t="s">
        <v>335</v>
      </c>
      <c r="I187" s="2" t="s">
        <v>69</v>
      </c>
      <c r="J187" s="2" t="str">
        <f>IFERROR(VLOOKUP(I187,'ATP - Keywords'!$E:$E,1,FALSE),"#N/A")</f>
        <v>https://www.columvi.com/about/what-is-DLBCL.html</v>
      </c>
      <c r="K187" s="2" t="str">
        <f t="shared" si="2"/>
        <v>https://www.columvi.com/about/what-is-DLBCL.html?c=gft-1890321fc12</v>
      </c>
      <c r="L187" s="2" t="b">
        <v>1</v>
      </c>
      <c r="M187" s="2" t="s">
        <v>5</v>
      </c>
    </row>
    <row r="188" spans="1:13" ht="15.75" customHeight="1" x14ac:dyDescent="0.3">
      <c r="A188" s="2" t="s">
        <v>321</v>
      </c>
      <c r="B188" s="2" t="s">
        <v>324</v>
      </c>
      <c r="C188" s="2" t="s">
        <v>76</v>
      </c>
      <c r="D188" s="2" t="str">
        <f>IFERROR(VLOOKUP(C188,'ATP - Keywords'!$B:$B,1,FALSE),"#N/A")</f>
        <v>Unbranded DLBCL Diagnosis</v>
      </c>
      <c r="E188" s="2" t="s">
        <v>187</v>
      </c>
      <c r="F188" s="2" t="str">
        <f>IFERROR(VLOOKUP(E188,'ATP - Keywords'!$C:$C,1,FALSE),"#N/A")</f>
        <v>diagnosed with dlbcl</v>
      </c>
      <c r="G188" s="2" t="s">
        <v>269</v>
      </c>
      <c r="H188" s="2" t="s">
        <v>335</v>
      </c>
      <c r="I188" s="2" t="s">
        <v>69</v>
      </c>
      <c r="J188" s="2" t="str">
        <f>IFERROR(VLOOKUP(I188,'ATP - Keywords'!$E:$E,1,FALSE),"#N/A")</f>
        <v>https://www.columvi.com/about/what-is-DLBCL.html</v>
      </c>
      <c r="K188" s="2" t="str">
        <f t="shared" si="2"/>
        <v>https://www.columvi.com/about/what-is-DLBCL.html?c=gft-1890321fc12</v>
      </c>
      <c r="L188" s="2" t="b">
        <v>1</v>
      </c>
      <c r="M188" s="2" t="s">
        <v>5</v>
      </c>
    </row>
    <row r="189" spans="1:13" ht="15.75" customHeight="1" x14ac:dyDescent="0.3">
      <c r="A189" s="2" t="s">
        <v>321</v>
      </c>
      <c r="B189" s="2" t="s">
        <v>324</v>
      </c>
      <c r="C189" s="2" t="s">
        <v>76</v>
      </c>
      <c r="D189" s="2" t="str">
        <f>IFERROR(VLOOKUP(C189,'ATP - Keywords'!$B:$B,1,FALSE),"#N/A")</f>
        <v>Unbranded DLBCL Diagnosis</v>
      </c>
      <c r="E189" s="2" t="s">
        <v>188</v>
      </c>
      <c r="F189" s="2" t="str">
        <f>IFERROR(VLOOKUP(E189,'ATP - Keywords'!$C:$C,1,FALSE),"#N/A")</f>
        <v>dlbcl diagnosis info</v>
      </c>
      <c r="G189" s="2" t="s">
        <v>269</v>
      </c>
      <c r="H189" s="2" t="s">
        <v>335</v>
      </c>
      <c r="I189" s="2" t="s">
        <v>69</v>
      </c>
      <c r="J189" s="2" t="str">
        <f>IFERROR(VLOOKUP(I189,'ATP - Keywords'!$E:$E,1,FALSE),"#N/A")</f>
        <v>https://www.columvi.com/about/what-is-DLBCL.html</v>
      </c>
      <c r="K189" s="2" t="str">
        <f t="shared" si="2"/>
        <v>https://www.columvi.com/about/what-is-DLBCL.html?c=gft-1890321fc12</v>
      </c>
      <c r="L189" s="2" t="b">
        <v>1</v>
      </c>
      <c r="M189" s="2" t="s">
        <v>5</v>
      </c>
    </row>
    <row r="190" spans="1:13" ht="15.75" customHeight="1" x14ac:dyDescent="0.3">
      <c r="A190" s="2" t="s">
        <v>321</v>
      </c>
      <c r="B190" s="2" t="s">
        <v>325</v>
      </c>
      <c r="C190" s="2" t="s">
        <v>78</v>
      </c>
      <c r="D190" s="2" t="str">
        <f>IFERROR(VLOOKUP(C190,'ATP - Keywords'!$B:$B,1,FALSE),"#N/A")</f>
        <v>Unbranded DLBCL Resources</v>
      </c>
      <c r="E190" s="2" t="s">
        <v>189</v>
      </c>
      <c r="F190" s="2" t="str">
        <f>IFERROR(VLOOKUP(E190,'ATP - Keywords'!$C:$C,1,FALSE),"#N/A")</f>
        <v>dlbcl information</v>
      </c>
      <c r="G190" s="2" t="s">
        <v>269</v>
      </c>
      <c r="H190" s="2" t="s">
        <v>336</v>
      </c>
      <c r="I190" s="2" t="s">
        <v>81</v>
      </c>
      <c r="J190" s="2" t="str">
        <f>IFERROR(VLOOKUP(I190,'ATP - Keywords'!$E:$E,1,FALSE),"#N/A")</f>
        <v>https://www.columvi.com/resources/helpful-links.html</v>
      </c>
      <c r="K190" s="2" t="str">
        <f t="shared" si="2"/>
        <v>https://www.columvi.com/resources/helpful-links.html?c=gft-1890321fc12</v>
      </c>
      <c r="L190" s="2" t="b">
        <v>1</v>
      </c>
      <c r="M190" s="2" t="s">
        <v>5</v>
      </c>
    </row>
    <row r="191" spans="1:13" ht="15.75" customHeight="1" x14ac:dyDescent="0.3">
      <c r="A191" s="2" t="s">
        <v>321</v>
      </c>
      <c r="B191" s="2" t="s">
        <v>325</v>
      </c>
      <c r="C191" s="2" t="s">
        <v>78</v>
      </c>
      <c r="D191" s="2" t="str">
        <f>IFERROR(VLOOKUP(C191,'ATP - Keywords'!$B:$B,1,FALSE),"#N/A")</f>
        <v>Unbranded DLBCL Resources</v>
      </c>
      <c r="E191" s="2" t="s">
        <v>191</v>
      </c>
      <c r="F191" s="2" t="str">
        <f>IFERROR(VLOOKUP(E191,'ATP - Keywords'!$C:$C,1,FALSE),"#N/A")</f>
        <v>dlbcl patient information</v>
      </c>
      <c r="G191" s="2" t="s">
        <v>269</v>
      </c>
      <c r="H191" s="2" t="s">
        <v>336</v>
      </c>
      <c r="I191" s="2" t="s">
        <v>81</v>
      </c>
      <c r="J191" s="2" t="str">
        <f>IFERROR(VLOOKUP(I191,'ATP - Keywords'!$E:$E,1,FALSE),"#N/A")</f>
        <v>https://www.columvi.com/resources/helpful-links.html</v>
      </c>
      <c r="K191" s="2" t="str">
        <f t="shared" si="2"/>
        <v>https://www.columvi.com/resources/helpful-links.html?c=gft-1890321fc12</v>
      </c>
      <c r="L191" s="2" t="b">
        <v>1</v>
      </c>
      <c r="M191" s="2" t="s">
        <v>5</v>
      </c>
    </row>
    <row r="192" spans="1:13" ht="15.75" customHeight="1" x14ac:dyDescent="0.3">
      <c r="A192" s="2" t="s">
        <v>321</v>
      </c>
      <c r="B192" s="2" t="s">
        <v>325</v>
      </c>
      <c r="C192" s="2" t="s">
        <v>78</v>
      </c>
      <c r="D192" s="2" t="str">
        <f>IFERROR(VLOOKUP(C192,'ATP - Keywords'!$B:$B,1,FALSE),"#N/A")</f>
        <v>Unbranded DLBCL Resources</v>
      </c>
      <c r="E192" s="2" t="s">
        <v>192</v>
      </c>
      <c r="F192" s="2" t="str">
        <f>IFERROR(VLOOKUP(E192,'ATP - Keywords'!$C:$C,1,FALSE),"#N/A")</f>
        <v>large b cell lymphoma information</v>
      </c>
      <c r="G192" s="2" t="s">
        <v>269</v>
      </c>
      <c r="H192" s="2" t="s">
        <v>336</v>
      </c>
      <c r="I192" s="2" t="s">
        <v>81</v>
      </c>
      <c r="J192" s="2" t="str">
        <f>IFERROR(VLOOKUP(I192,'ATP - Keywords'!$E:$E,1,FALSE),"#N/A")</f>
        <v>https://www.columvi.com/resources/helpful-links.html</v>
      </c>
      <c r="K192" s="2" t="str">
        <f t="shared" si="2"/>
        <v>https://www.columvi.com/resources/helpful-links.html?c=gft-1890321fc12</v>
      </c>
      <c r="L192" s="2" t="b">
        <v>1</v>
      </c>
      <c r="M192" s="2" t="s">
        <v>5</v>
      </c>
    </row>
    <row r="193" spans="1:13" ht="15.75" customHeight="1" x14ac:dyDescent="0.3">
      <c r="A193" s="2" t="s">
        <v>321</v>
      </c>
      <c r="B193" s="2" t="s">
        <v>325</v>
      </c>
      <c r="C193" s="2" t="s">
        <v>78</v>
      </c>
      <c r="D193" s="2" t="str">
        <f>IFERROR(VLOOKUP(C193,'ATP - Keywords'!$B:$B,1,FALSE),"#N/A")</f>
        <v>Unbranded DLBCL Resources</v>
      </c>
      <c r="E193" s="2" t="s">
        <v>193</v>
      </c>
      <c r="F193" s="2" t="str">
        <f>IFERROR(VLOOKUP(E193,'ATP - Keywords'!$C:$C,1,FALSE),"#N/A")</f>
        <v>large b cell lymphoma patient information</v>
      </c>
      <c r="G193" s="2" t="s">
        <v>269</v>
      </c>
      <c r="H193" s="2" t="s">
        <v>336</v>
      </c>
      <c r="I193" s="2" t="s">
        <v>81</v>
      </c>
      <c r="J193" s="2" t="str">
        <f>IFERROR(VLOOKUP(I193,'ATP - Keywords'!$E:$E,1,FALSE),"#N/A")</f>
        <v>https://www.columvi.com/resources/helpful-links.html</v>
      </c>
      <c r="K193" s="2" t="str">
        <f t="shared" si="2"/>
        <v>https://www.columvi.com/resources/helpful-links.html?c=gft-1890321fc12</v>
      </c>
      <c r="L193" s="2" t="b">
        <v>1</v>
      </c>
      <c r="M193" s="2" t="s">
        <v>5</v>
      </c>
    </row>
    <row r="194" spans="1:13" ht="15.75" customHeight="1" x14ac:dyDescent="0.3">
      <c r="A194" s="2" t="s">
        <v>321</v>
      </c>
      <c r="B194" s="2" t="s">
        <v>325</v>
      </c>
      <c r="C194" s="2" t="s">
        <v>78</v>
      </c>
      <c r="D194" s="2" t="str">
        <f>IFERROR(VLOOKUP(C194,'ATP - Keywords'!$B:$B,1,FALSE),"#N/A")</f>
        <v>Unbranded DLBCL Resources</v>
      </c>
      <c r="E194" s="2" t="s">
        <v>194</v>
      </c>
      <c r="F194" s="2" t="str">
        <f>IFERROR(VLOOKUP(E194,'ATP - Keywords'!$C:$C,1,FALSE),"#N/A")</f>
        <v>the large b-cell lymphoma</v>
      </c>
      <c r="G194" s="2" t="s">
        <v>269</v>
      </c>
      <c r="H194" s="2" t="s">
        <v>336</v>
      </c>
      <c r="I194" s="2" t="s">
        <v>81</v>
      </c>
      <c r="J194" s="2" t="str">
        <f>IFERROR(VLOOKUP(I194,'ATP - Keywords'!$E:$E,1,FALSE),"#N/A")</f>
        <v>https://www.columvi.com/resources/helpful-links.html</v>
      </c>
      <c r="K194" s="2" t="str">
        <f t="shared" ref="K194:K257" si="3">CONCATENATE(J194,"?c=",M194)</f>
        <v>https://www.columvi.com/resources/helpful-links.html?c=gft-1890321fc12</v>
      </c>
      <c r="L194" s="2" t="b">
        <v>1</v>
      </c>
      <c r="M194" s="2" t="s">
        <v>5</v>
      </c>
    </row>
    <row r="195" spans="1:13" ht="15.75" customHeight="1" x14ac:dyDescent="0.3">
      <c r="A195" s="2" t="s">
        <v>321</v>
      </c>
      <c r="B195" s="2" t="s">
        <v>325</v>
      </c>
      <c r="C195" s="2" t="s">
        <v>78</v>
      </c>
      <c r="D195" s="2" t="str">
        <f>IFERROR(VLOOKUP(C195,'ATP - Keywords'!$B:$B,1,FALSE),"#N/A")</f>
        <v>Unbranded DLBCL Resources</v>
      </c>
      <c r="E195" s="2" t="s">
        <v>195</v>
      </c>
      <c r="F195" s="2" t="str">
        <f>IFERROR(VLOOKUP(E195,'ATP - Keywords'!$C:$C,1,FALSE),"#N/A")</f>
        <v>dlbcl resources</v>
      </c>
      <c r="G195" s="2" t="s">
        <v>269</v>
      </c>
      <c r="H195" s="2" t="s">
        <v>336</v>
      </c>
      <c r="I195" s="2" t="s">
        <v>81</v>
      </c>
      <c r="J195" s="2" t="str">
        <f>IFERROR(VLOOKUP(I195,'ATP - Keywords'!$E:$E,1,FALSE),"#N/A")</f>
        <v>https://www.columvi.com/resources/helpful-links.html</v>
      </c>
      <c r="K195" s="2" t="str">
        <f t="shared" si="3"/>
        <v>https://www.columvi.com/resources/helpful-links.html?c=gft-1890321fc12</v>
      </c>
      <c r="L195" s="2" t="b">
        <v>1</v>
      </c>
      <c r="M195" s="2" t="s">
        <v>5</v>
      </c>
    </row>
    <row r="196" spans="1:13" ht="15.75" customHeight="1" x14ac:dyDescent="0.3">
      <c r="A196" s="2" t="s">
        <v>321</v>
      </c>
      <c r="B196" s="2" t="s">
        <v>325</v>
      </c>
      <c r="C196" s="2" t="s">
        <v>78</v>
      </c>
      <c r="D196" s="2" t="str">
        <f>IFERROR(VLOOKUP(C196,'ATP - Keywords'!$B:$B,1,FALSE),"#N/A")</f>
        <v>Unbranded DLBCL Resources</v>
      </c>
      <c r="E196" s="2" t="s">
        <v>196</v>
      </c>
      <c r="F196" s="2" t="str">
        <f>IFERROR(VLOOKUP(E196,'ATP - Keywords'!$C:$C,1,FALSE),"#N/A")</f>
        <v>dlbcl resources for patients</v>
      </c>
      <c r="G196" s="2" t="s">
        <v>269</v>
      </c>
      <c r="H196" s="2" t="s">
        <v>336</v>
      </c>
      <c r="I196" s="2" t="s">
        <v>81</v>
      </c>
      <c r="J196" s="2" t="str">
        <f>IFERROR(VLOOKUP(I196,'ATP - Keywords'!$E:$E,1,FALSE),"#N/A")</f>
        <v>https://www.columvi.com/resources/helpful-links.html</v>
      </c>
      <c r="K196" s="2" t="str">
        <f t="shared" si="3"/>
        <v>https://www.columvi.com/resources/helpful-links.html?c=gft-1890321fc12</v>
      </c>
      <c r="L196" s="2" t="b">
        <v>1</v>
      </c>
      <c r="M196" s="2" t="s">
        <v>5</v>
      </c>
    </row>
    <row r="197" spans="1:13" ht="15.75" customHeight="1" x14ac:dyDescent="0.3">
      <c r="A197" s="2" t="s">
        <v>321</v>
      </c>
      <c r="B197" s="2" t="s">
        <v>325</v>
      </c>
      <c r="C197" s="2" t="s">
        <v>78</v>
      </c>
      <c r="D197" s="2" t="str">
        <f>IFERROR(VLOOKUP(C197,'ATP - Keywords'!$B:$B,1,FALSE),"#N/A")</f>
        <v>Unbranded DLBCL Resources</v>
      </c>
      <c r="E197" s="2" t="s">
        <v>197</v>
      </c>
      <c r="F197" s="2" t="str">
        <f>IFERROR(VLOOKUP(E197,'ATP - Keywords'!$C:$C,1,FALSE),"#N/A")</f>
        <v>patient resources diffuse large b cell lymphoma</v>
      </c>
      <c r="G197" s="2" t="s">
        <v>269</v>
      </c>
      <c r="H197" s="2" t="s">
        <v>336</v>
      </c>
      <c r="I197" s="2" t="s">
        <v>81</v>
      </c>
      <c r="J197" s="2" t="str">
        <f>IFERROR(VLOOKUP(I197,'ATP - Keywords'!$E:$E,1,FALSE),"#N/A")</f>
        <v>https://www.columvi.com/resources/helpful-links.html</v>
      </c>
      <c r="K197" s="2" t="str">
        <f t="shared" si="3"/>
        <v>https://www.columvi.com/resources/helpful-links.html?c=gft-1890321fc12</v>
      </c>
      <c r="L197" s="2" t="b">
        <v>1</v>
      </c>
      <c r="M197" s="2" t="s">
        <v>5</v>
      </c>
    </row>
    <row r="198" spans="1:13" ht="15.75" customHeight="1" x14ac:dyDescent="0.3">
      <c r="A198" s="2" t="s">
        <v>321</v>
      </c>
      <c r="B198" s="2" t="s">
        <v>325</v>
      </c>
      <c r="C198" s="2" t="s">
        <v>78</v>
      </c>
      <c r="D198" s="2" t="str">
        <f>IFERROR(VLOOKUP(C198,'ATP - Keywords'!$B:$B,1,FALSE),"#N/A")</f>
        <v>Unbranded DLBCL Resources</v>
      </c>
      <c r="E198" s="2" t="s">
        <v>198</v>
      </c>
      <c r="F198" s="2" t="str">
        <f>IFERROR(VLOOKUP(E198,'ATP - Keywords'!$C:$C,1,FALSE),"#N/A")</f>
        <v>dlbcl caregiver resources</v>
      </c>
      <c r="G198" s="2" t="s">
        <v>269</v>
      </c>
      <c r="H198" s="2" t="s">
        <v>336</v>
      </c>
      <c r="I198" s="2" t="s">
        <v>81</v>
      </c>
      <c r="J198" s="2" t="str">
        <f>IFERROR(VLOOKUP(I198,'ATP - Keywords'!$E:$E,1,FALSE),"#N/A")</f>
        <v>https://www.columvi.com/resources/helpful-links.html</v>
      </c>
      <c r="K198" s="2" t="str">
        <f t="shared" si="3"/>
        <v>https://www.columvi.com/resources/helpful-links.html?c=gft-1890321fc12</v>
      </c>
      <c r="L198" s="2" t="b">
        <v>1</v>
      </c>
      <c r="M198" s="2" t="s">
        <v>5</v>
      </c>
    </row>
    <row r="199" spans="1:13" ht="15.75" customHeight="1" x14ac:dyDescent="0.3">
      <c r="A199" s="2" t="s">
        <v>321</v>
      </c>
      <c r="B199" s="2" t="s">
        <v>325</v>
      </c>
      <c r="C199" s="2" t="s">
        <v>78</v>
      </c>
      <c r="D199" s="2" t="str">
        <f>IFERROR(VLOOKUP(C199,'ATP - Keywords'!$B:$B,1,FALSE),"#N/A")</f>
        <v>Unbranded DLBCL Resources</v>
      </c>
      <c r="E199" s="2" t="s">
        <v>199</v>
      </c>
      <c r="F199" s="2" t="str">
        <f>IFERROR(VLOOKUP(E199,'ATP - Keywords'!$C:$C,1,FALSE),"#N/A")</f>
        <v>dlbcl resources for caregivers</v>
      </c>
      <c r="G199" s="2" t="s">
        <v>269</v>
      </c>
      <c r="H199" s="2" t="s">
        <v>336</v>
      </c>
      <c r="I199" s="2" t="s">
        <v>81</v>
      </c>
      <c r="J199" s="2" t="str">
        <f>IFERROR(VLOOKUP(I199,'ATP - Keywords'!$E:$E,1,FALSE),"#N/A")</f>
        <v>https://www.columvi.com/resources/helpful-links.html</v>
      </c>
      <c r="K199" s="2" t="str">
        <f t="shared" si="3"/>
        <v>https://www.columvi.com/resources/helpful-links.html?c=gft-1890321fc12</v>
      </c>
      <c r="L199" s="2" t="b">
        <v>1</v>
      </c>
      <c r="M199" s="2" t="s">
        <v>5</v>
      </c>
    </row>
    <row r="200" spans="1:13" ht="15.75" customHeight="1" x14ac:dyDescent="0.3">
      <c r="A200" s="2" t="s">
        <v>321</v>
      </c>
      <c r="B200" s="2" t="s">
        <v>325</v>
      </c>
      <c r="C200" s="2" t="s">
        <v>78</v>
      </c>
      <c r="D200" s="2" t="str">
        <f>IFERROR(VLOOKUP(C200,'ATP - Keywords'!$B:$B,1,FALSE),"#N/A")</f>
        <v>Unbranded DLBCL Resources</v>
      </c>
      <c r="E200" s="2" t="s">
        <v>200</v>
      </c>
      <c r="F200" s="2" t="str">
        <f>IFERROR(VLOOKUP(E200,'ATP - Keywords'!$C:$C,1,FALSE),"#N/A")</f>
        <v>dlbcl support</v>
      </c>
      <c r="G200" s="2" t="s">
        <v>269</v>
      </c>
      <c r="H200" s="2" t="s">
        <v>336</v>
      </c>
      <c r="I200" s="2" t="s">
        <v>81</v>
      </c>
      <c r="J200" s="2" t="str">
        <f>IFERROR(VLOOKUP(I200,'ATP - Keywords'!$E:$E,1,FALSE),"#N/A")</f>
        <v>https://www.columvi.com/resources/helpful-links.html</v>
      </c>
      <c r="K200" s="2" t="str">
        <f t="shared" si="3"/>
        <v>https://www.columvi.com/resources/helpful-links.html?c=gft-1890321fc12</v>
      </c>
      <c r="L200" s="2" t="b">
        <v>1</v>
      </c>
      <c r="M200" s="2" t="s">
        <v>5</v>
      </c>
    </row>
    <row r="201" spans="1:13" ht="15.75" customHeight="1" x14ac:dyDescent="0.3">
      <c r="A201" s="2" t="s">
        <v>321</v>
      </c>
      <c r="B201" s="2" t="s">
        <v>325</v>
      </c>
      <c r="C201" s="2" t="s">
        <v>78</v>
      </c>
      <c r="D201" s="2" t="str">
        <f>IFERROR(VLOOKUP(C201,'ATP - Keywords'!$B:$B,1,FALSE),"#N/A")</f>
        <v>Unbranded DLBCL Resources</v>
      </c>
      <c r="E201" s="2" t="s">
        <v>201</v>
      </c>
      <c r="F201" s="2" t="str">
        <f>IFERROR(VLOOKUP(E201,'ATP - Keywords'!$C:$C,1,FALSE),"#N/A")</f>
        <v>patient support dlbcl</v>
      </c>
      <c r="G201" s="2" t="s">
        <v>269</v>
      </c>
      <c r="H201" s="2" t="s">
        <v>336</v>
      </c>
      <c r="I201" s="2" t="s">
        <v>81</v>
      </c>
      <c r="J201" s="2" t="str">
        <f>IFERROR(VLOOKUP(I201,'ATP - Keywords'!$E:$E,1,FALSE),"#N/A")</f>
        <v>https://www.columvi.com/resources/helpful-links.html</v>
      </c>
      <c r="K201" s="2" t="str">
        <f t="shared" si="3"/>
        <v>https://www.columvi.com/resources/helpful-links.html?c=gft-1890321fc12</v>
      </c>
      <c r="L201" s="2" t="b">
        <v>1</v>
      </c>
      <c r="M201" s="2" t="s">
        <v>5</v>
      </c>
    </row>
    <row r="202" spans="1:13" ht="15.75" customHeight="1" x14ac:dyDescent="0.3">
      <c r="A202" s="2" t="s">
        <v>321</v>
      </c>
      <c r="B202" s="2" t="s">
        <v>325</v>
      </c>
      <c r="C202" s="2" t="s">
        <v>78</v>
      </c>
      <c r="D202" s="2" t="str">
        <f>IFERROR(VLOOKUP(C202,'ATP - Keywords'!$B:$B,1,FALSE),"#N/A")</f>
        <v>Unbranded DLBCL Resources</v>
      </c>
      <c r="E202" s="2" t="s">
        <v>202</v>
      </c>
      <c r="F202" s="2" t="str">
        <f>IFERROR(VLOOKUP(E202,'ATP - Keywords'!$C:$C,1,FALSE),"#N/A")</f>
        <v>downloadable resources for dlbcl</v>
      </c>
      <c r="G202" s="2" t="s">
        <v>269</v>
      </c>
      <c r="H202" s="2" t="s">
        <v>336</v>
      </c>
      <c r="I202" s="2" t="s">
        <v>81</v>
      </c>
      <c r="J202" s="2" t="str">
        <f>IFERROR(VLOOKUP(I202,'ATP - Keywords'!$E:$E,1,FALSE),"#N/A")</f>
        <v>https://www.columvi.com/resources/helpful-links.html</v>
      </c>
      <c r="K202" s="2" t="str">
        <f t="shared" si="3"/>
        <v>https://www.columvi.com/resources/helpful-links.html?c=gft-1890321fc12</v>
      </c>
      <c r="L202" s="2" t="b">
        <v>1</v>
      </c>
      <c r="M202" s="2" t="s">
        <v>5</v>
      </c>
    </row>
    <row r="203" spans="1:13" ht="15.75" customHeight="1" x14ac:dyDescent="0.3">
      <c r="A203" s="2" t="s">
        <v>321</v>
      </c>
      <c r="B203" s="2" t="s">
        <v>325</v>
      </c>
      <c r="C203" s="2" t="s">
        <v>78</v>
      </c>
      <c r="D203" s="2" t="str">
        <f>IFERROR(VLOOKUP(C203,'ATP - Keywords'!$B:$B,1,FALSE),"#N/A")</f>
        <v>Unbranded DLBCL Resources</v>
      </c>
      <c r="E203" s="2" t="s">
        <v>203</v>
      </c>
      <c r="F203" s="2" t="str">
        <f>IFERROR(VLOOKUP(E203,'ATP - Keywords'!$C:$C,1,FALSE),"#N/A")</f>
        <v>dlbcl brochure</v>
      </c>
      <c r="G203" s="2" t="s">
        <v>269</v>
      </c>
      <c r="H203" s="2" t="s">
        <v>336</v>
      </c>
      <c r="I203" s="2" t="s">
        <v>81</v>
      </c>
      <c r="J203" s="2" t="str">
        <f>IFERROR(VLOOKUP(I203,'ATP - Keywords'!$E:$E,1,FALSE),"#N/A")</f>
        <v>https://www.columvi.com/resources/helpful-links.html</v>
      </c>
      <c r="K203" s="2" t="str">
        <f t="shared" si="3"/>
        <v>https://www.columvi.com/resources/helpful-links.html?c=gft-1890321fc12</v>
      </c>
      <c r="L203" s="2" t="b">
        <v>1</v>
      </c>
      <c r="M203" s="2" t="s">
        <v>5</v>
      </c>
    </row>
    <row r="204" spans="1:13" ht="15.75" customHeight="1" x14ac:dyDescent="0.3">
      <c r="A204" s="2" t="s">
        <v>321</v>
      </c>
      <c r="B204" s="2" t="s">
        <v>325</v>
      </c>
      <c r="C204" s="2" t="s">
        <v>78</v>
      </c>
      <c r="D204" s="2" t="str">
        <f>IFERROR(VLOOKUP(C204,'ATP - Keywords'!$B:$B,1,FALSE),"#N/A")</f>
        <v>Unbranded DLBCL Resources</v>
      </c>
      <c r="E204" s="2" t="s">
        <v>204</v>
      </c>
      <c r="F204" s="2" t="str">
        <f>IFERROR(VLOOKUP(E204,'ATP - Keywords'!$C:$C,1,FALSE),"#N/A")</f>
        <v>dlbcl patient brochure</v>
      </c>
      <c r="G204" s="2" t="s">
        <v>269</v>
      </c>
      <c r="H204" s="2" t="s">
        <v>336</v>
      </c>
      <c r="I204" s="2" t="s">
        <v>81</v>
      </c>
      <c r="J204" s="2" t="str">
        <f>IFERROR(VLOOKUP(I204,'ATP - Keywords'!$E:$E,1,FALSE),"#N/A")</f>
        <v>https://www.columvi.com/resources/helpful-links.html</v>
      </c>
      <c r="K204" s="2" t="str">
        <f t="shared" si="3"/>
        <v>https://www.columvi.com/resources/helpful-links.html?c=gft-1890321fc12</v>
      </c>
      <c r="L204" s="2" t="b">
        <v>1</v>
      </c>
      <c r="M204" s="2" t="s">
        <v>5</v>
      </c>
    </row>
    <row r="205" spans="1:13" ht="15.75" customHeight="1" x14ac:dyDescent="0.3">
      <c r="A205" s="2" t="s">
        <v>321</v>
      </c>
      <c r="B205" s="2" t="s">
        <v>326</v>
      </c>
      <c r="C205" s="2" t="s">
        <v>83</v>
      </c>
      <c r="D205" s="2" t="str">
        <f>IFERROR(VLOOKUP(C205,'ATP - Keywords'!$B:$B,1,FALSE),"#N/A")</f>
        <v>Unbranded DLBCL Financial Support</v>
      </c>
      <c r="E205" s="2" t="s">
        <v>205</v>
      </c>
      <c r="F205" s="2" t="str">
        <f>IFERROR(VLOOKUP(E205,'ATP - Keywords'!$C:$C,1,FALSE),"#N/A")</f>
        <v>dlbcl financial support</v>
      </c>
      <c r="G205" s="2" t="s">
        <v>269</v>
      </c>
      <c r="H205" s="2" t="s">
        <v>337</v>
      </c>
      <c r="I205" s="2" t="s">
        <v>88</v>
      </c>
      <c r="J205" s="2" t="str">
        <f>IFERROR(VLOOKUP(I205,'ATP - Keywords'!$E:$E,1,FALSE),"#N/A")</f>
        <v>https://www.columvi.com/financial-support/assistance-options.html</v>
      </c>
      <c r="K205" s="2" t="str">
        <f t="shared" si="3"/>
        <v>https://www.columvi.com/financial-support/assistance-options.html?c=gft-1890321fc12</v>
      </c>
      <c r="L205" s="2" t="b">
        <v>1</v>
      </c>
      <c r="M205" s="2" t="s">
        <v>5</v>
      </c>
    </row>
    <row r="206" spans="1:13" ht="15.75" customHeight="1" x14ac:dyDescent="0.3">
      <c r="A206" s="2" t="s">
        <v>321</v>
      </c>
      <c r="B206" s="2" t="s">
        <v>326</v>
      </c>
      <c r="C206" s="2" t="s">
        <v>83</v>
      </c>
      <c r="D206" s="2" t="str">
        <f>IFERROR(VLOOKUP(C206,'ATP - Keywords'!$B:$B,1,FALSE),"#N/A")</f>
        <v>Unbranded DLBCL Financial Support</v>
      </c>
      <c r="E206" s="2" t="s">
        <v>207</v>
      </c>
      <c r="F206" s="2" t="str">
        <f>IFERROR(VLOOKUP(E206,'ATP - Keywords'!$C:$C,1,FALSE),"#N/A")</f>
        <v>dlbcl financial assistance</v>
      </c>
      <c r="G206" s="2" t="s">
        <v>269</v>
      </c>
      <c r="H206" s="2" t="s">
        <v>337</v>
      </c>
      <c r="I206" s="2" t="s">
        <v>88</v>
      </c>
      <c r="J206" s="2" t="str">
        <f>IFERROR(VLOOKUP(I206,'ATP - Keywords'!$E:$E,1,FALSE),"#N/A")</f>
        <v>https://www.columvi.com/financial-support/assistance-options.html</v>
      </c>
      <c r="K206" s="2" t="str">
        <f t="shared" si="3"/>
        <v>https://www.columvi.com/financial-support/assistance-options.html?c=gft-1890321fc12</v>
      </c>
      <c r="L206" s="2" t="b">
        <v>1</v>
      </c>
      <c r="M206" s="2" t="s">
        <v>5</v>
      </c>
    </row>
    <row r="207" spans="1:13" ht="15.75" customHeight="1" x14ac:dyDescent="0.3">
      <c r="A207" s="2" t="s">
        <v>321</v>
      </c>
      <c r="B207" s="2" t="s">
        <v>326</v>
      </c>
      <c r="C207" s="2" t="s">
        <v>83</v>
      </c>
      <c r="D207" s="2" t="str">
        <f>IFERROR(VLOOKUP(C207,'ATP - Keywords'!$B:$B,1,FALSE),"#N/A")</f>
        <v>Unbranded DLBCL Financial Support</v>
      </c>
      <c r="E207" s="2" t="s">
        <v>208</v>
      </c>
      <c r="F207" s="2" t="str">
        <f>IFERROR(VLOOKUP(E207,'ATP - Keywords'!$C:$C,1,FALSE),"#N/A")</f>
        <v>apply for financial support dlbcl treatment</v>
      </c>
      <c r="G207" s="2" t="s">
        <v>269</v>
      </c>
      <c r="H207" s="2" t="s">
        <v>337</v>
      </c>
      <c r="I207" s="2" t="s">
        <v>88</v>
      </c>
      <c r="J207" s="2" t="str">
        <f>IFERROR(VLOOKUP(I207,'ATP - Keywords'!$E:$E,1,FALSE),"#N/A")</f>
        <v>https://www.columvi.com/financial-support/assistance-options.html</v>
      </c>
      <c r="K207" s="2" t="str">
        <f t="shared" si="3"/>
        <v>https://www.columvi.com/financial-support/assistance-options.html?c=gft-1890321fc12</v>
      </c>
      <c r="L207" s="2" t="b">
        <v>1</v>
      </c>
      <c r="M207" s="2" t="s">
        <v>5</v>
      </c>
    </row>
    <row r="208" spans="1:13" ht="15.75" customHeight="1" x14ac:dyDescent="0.3">
      <c r="A208" s="2" t="s">
        <v>321</v>
      </c>
      <c r="B208" s="2" t="s">
        <v>326</v>
      </c>
      <c r="C208" s="2" t="s">
        <v>83</v>
      </c>
      <c r="D208" s="2" t="str">
        <f>IFERROR(VLOOKUP(C208,'ATP - Keywords'!$B:$B,1,FALSE),"#N/A")</f>
        <v>Unbranded DLBCL Financial Support</v>
      </c>
      <c r="E208" s="2" t="s">
        <v>209</v>
      </c>
      <c r="F208" s="2" t="str">
        <f>IFERROR(VLOOKUP(E208,'ATP - Keywords'!$C:$C,1,FALSE),"#N/A")</f>
        <v>diffuse large b cell lymphoma financial support</v>
      </c>
      <c r="G208" s="2" t="s">
        <v>269</v>
      </c>
      <c r="H208" s="2" t="s">
        <v>337</v>
      </c>
      <c r="I208" s="2" t="s">
        <v>88</v>
      </c>
      <c r="J208" s="2" t="str">
        <f>IFERROR(VLOOKUP(I208,'ATP - Keywords'!$E:$E,1,FALSE),"#N/A")</f>
        <v>https://www.columvi.com/financial-support/assistance-options.html</v>
      </c>
      <c r="K208" s="2" t="str">
        <f t="shared" si="3"/>
        <v>https://www.columvi.com/financial-support/assistance-options.html?c=gft-1890321fc12</v>
      </c>
      <c r="L208" s="2" t="b">
        <v>1</v>
      </c>
      <c r="M208" s="2" t="s">
        <v>5</v>
      </c>
    </row>
    <row r="209" spans="1:13" ht="15.75" customHeight="1" x14ac:dyDescent="0.3">
      <c r="A209" s="2" t="s">
        <v>321</v>
      </c>
      <c r="B209" s="2" t="s">
        <v>326</v>
      </c>
      <c r="C209" s="2" t="s">
        <v>83</v>
      </c>
      <c r="D209" s="2" t="str">
        <f>IFERROR(VLOOKUP(C209,'ATP - Keywords'!$B:$B,1,FALSE),"#N/A")</f>
        <v>Unbranded DLBCL Financial Support</v>
      </c>
      <c r="E209" s="2" t="s">
        <v>210</v>
      </c>
      <c r="F209" s="2" t="str">
        <f>IFERROR(VLOOKUP(E209,'ATP - Keywords'!$C:$C,1,FALSE),"#N/A")</f>
        <v>diffuse large b cell lymphoma financial assistance</v>
      </c>
      <c r="G209" s="2" t="s">
        <v>269</v>
      </c>
      <c r="H209" s="2" t="s">
        <v>337</v>
      </c>
      <c r="I209" s="2" t="s">
        <v>88</v>
      </c>
      <c r="J209" s="2" t="str">
        <f>IFERROR(VLOOKUP(I209,'ATP - Keywords'!$E:$E,1,FALSE),"#N/A")</f>
        <v>https://www.columvi.com/financial-support/assistance-options.html</v>
      </c>
      <c r="K209" s="2" t="str">
        <f t="shared" si="3"/>
        <v>https://www.columvi.com/financial-support/assistance-options.html?c=gft-1890321fc12</v>
      </c>
      <c r="L209" s="2" t="b">
        <v>1</v>
      </c>
      <c r="M209" s="2" t="s">
        <v>5</v>
      </c>
    </row>
    <row r="210" spans="1:13" ht="15.75" customHeight="1" x14ac:dyDescent="0.3">
      <c r="A210" s="5" t="s">
        <v>321</v>
      </c>
      <c r="B210" s="5" t="s">
        <v>327</v>
      </c>
      <c r="C210" s="5" t="s">
        <v>90</v>
      </c>
      <c r="D210" s="2" t="str">
        <f>IFERROR(VLOOKUP(C210,'ATP - Keywords'!$B:$B,1,FALSE),"#N/A")</f>
        <v>Unbranded DLBCL Results</v>
      </c>
      <c r="E210" s="5" t="s">
        <v>211</v>
      </c>
      <c r="F210" s="2" t="str">
        <f>IFERROR(VLOOKUP(E210,'ATP - Keywords'!$C:$C,1,FALSE),"#N/A")</f>
        <v>dlbcl results</v>
      </c>
      <c r="G210" s="5" t="s">
        <v>269</v>
      </c>
      <c r="H210" s="5" t="s">
        <v>338</v>
      </c>
      <c r="I210" s="5" t="s">
        <v>91</v>
      </c>
      <c r="J210" s="5" t="str">
        <f>IFERROR(VLOOKUP(I210,'ATP - Keywords'!$E:$E,1,FALSE),"#N/A")</f>
        <v>https://www.columvi.com/columvi-results/clinical-trial-results.html</v>
      </c>
      <c r="K210" s="5" t="str">
        <f t="shared" si="3"/>
        <v>https://www.columvi.com/columvi-results/clinical-trial-results.html?c=gft-1890321fc12</v>
      </c>
      <c r="L210" s="5" t="b">
        <v>1</v>
      </c>
      <c r="M210" s="5" t="s">
        <v>5</v>
      </c>
    </row>
    <row r="211" spans="1:13" ht="15.75" customHeight="1" x14ac:dyDescent="0.3">
      <c r="A211" s="5" t="s">
        <v>321</v>
      </c>
      <c r="B211" s="5" t="s">
        <v>327</v>
      </c>
      <c r="C211" s="5" t="s">
        <v>90</v>
      </c>
      <c r="D211" s="2" t="str">
        <f>IFERROR(VLOOKUP(C211,'ATP - Keywords'!$B:$B,1,FALSE),"#N/A")</f>
        <v>Unbranded DLBCL Results</v>
      </c>
      <c r="E211" s="5" t="s">
        <v>213</v>
      </c>
      <c r="F211" s="2" t="str">
        <f>IFERROR(VLOOKUP(E211,'ATP - Keywords'!$C:$C,1,FALSE),"#N/A")</f>
        <v>results for dlbcl</v>
      </c>
      <c r="G211" s="5" t="s">
        <v>269</v>
      </c>
      <c r="H211" s="5" t="s">
        <v>338</v>
      </c>
      <c r="I211" s="5" t="s">
        <v>91</v>
      </c>
      <c r="J211" s="5" t="str">
        <f>IFERROR(VLOOKUP(I211,'ATP - Keywords'!$E:$E,1,FALSE),"#N/A")</f>
        <v>https://www.columvi.com/columvi-results/clinical-trial-results.html</v>
      </c>
      <c r="K211" s="5" t="str">
        <f t="shared" si="3"/>
        <v>https://www.columvi.com/columvi-results/clinical-trial-results.html?c=gft-1890321fc12</v>
      </c>
      <c r="L211" s="5" t="b">
        <v>1</v>
      </c>
      <c r="M211" s="5" t="s">
        <v>5</v>
      </c>
    </row>
    <row r="212" spans="1:13" ht="15.75" customHeight="1" x14ac:dyDescent="0.3">
      <c r="A212" s="5" t="s">
        <v>321</v>
      </c>
      <c r="B212" s="5" t="s">
        <v>327</v>
      </c>
      <c r="C212" s="5" t="s">
        <v>90</v>
      </c>
      <c r="D212" s="2" t="str">
        <f>IFERROR(VLOOKUP(C212,'ATP - Keywords'!$B:$B,1,FALSE),"#N/A")</f>
        <v>Unbranded DLBCL Results</v>
      </c>
      <c r="E212" s="5" t="s">
        <v>214</v>
      </c>
      <c r="F212" s="2" t="str">
        <f>IFERROR(VLOOKUP(E212,'ATP - Keywords'!$C:$C,1,FALSE),"#N/A")</f>
        <v>large b cell lymphoma results</v>
      </c>
      <c r="G212" s="5" t="s">
        <v>269</v>
      </c>
      <c r="H212" s="5" t="s">
        <v>338</v>
      </c>
      <c r="I212" s="5" t="s">
        <v>91</v>
      </c>
      <c r="J212" s="5" t="str">
        <f>IFERROR(VLOOKUP(I212,'ATP - Keywords'!$E:$E,1,FALSE),"#N/A")</f>
        <v>https://www.columvi.com/columvi-results/clinical-trial-results.html</v>
      </c>
      <c r="K212" s="5" t="str">
        <f t="shared" si="3"/>
        <v>https://www.columvi.com/columvi-results/clinical-trial-results.html?c=gft-1890321fc12</v>
      </c>
      <c r="L212" s="5" t="b">
        <v>1</v>
      </c>
      <c r="M212" s="5" t="s">
        <v>5</v>
      </c>
    </row>
    <row r="213" spans="1:13" ht="15.75" customHeight="1" x14ac:dyDescent="0.3">
      <c r="A213" s="5" t="s">
        <v>321</v>
      </c>
      <c r="B213" s="5" t="s">
        <v>327</v>
      </c>
      <c r="C213" s="5" t="s">
        <v>90</v>
      </c>
      <c r="D213" s="2" t="str">
        <f>IFERROR(VLOOKUP(C213,'ATP - Keywords'!$B:$B,1,FALSE),"#N/A")</f>
        <v>Unbranded DLBCL Results</v>
      </c>
      <c r="E213" s="5" t="s">
        <v>215</v>
      </c>
      <c r="F213" s="2" t="str">
        <f>IFERROR(VLOOKUP(E213,'ATP - Keywords'!$C:$C,1,FALSE),"#N/A")</f>
        <v>results for large b cell lymphoma</v>
      </c>
      <c r="G213" s="5" t="s">
        <v>269</v>
      </c>
      <c r="H213" s="5" t="s">
        <v>338</v>
      </c>
      <c r="I213" s="5" t="s">
        <v>91</v>
      </c>
      <c r="J213" s="5" t="str">
        <f>IFERROR(VLOOKUP(I213,'ATP - Keywords'!$E:$E,1,FALSE),"#N/A")</f>
        <v>https://www.columvi.com/columvi-results/clinical-trial-results.html</v>
      </c>
      <c r="K213" s="5" t="str">
        <f t="shared" si="3"/>
        <v>https://www.columvi.com/columvi-results/clinical-trial-results.html?c=gft-1890321fc12</v>
      </c>
      <c r="L213" s="5" t="b">
        <v>1</v>
      </c>
      <c r="M213" s="5" t="s">
        <v>5</v>
      </c>
    </row>
    <row r="214" spans="1:13" ht="15.75" customHeight="1" x14ac:dyDescent="0.3">
      <c r="A214" s="5" t="s">
        <v>321</v>
      </c>
      <c r="B214" s="5" t="s">
        <v>327</v>
      </c>
      <c r="C214" s="5" t="s">
        <v>90</v>
      </c>
      <c r="D214" s="2" t="str">
        <f>IFERROR(VLOOKUP(C214,'ATP - Keywords'!$B:$B,1,FALSE),"#N/A")</f>
        <v>Unbranded DLBCL Results</v>
      </c>
      <c r="E214" s="5" t="s">
        <v>216</v>
      </c>
      <c r="F214" s="2" t="str">
        <f>IFERROR(VLOOKUP(E214,'ATP - Keywords'!$C:$C,1,FALSE),"#N/A")</f>
        <v>relapsed refractory large b cell lymphoma results</v>
      </c>
      <c r="G214" s="5" t="s">
        <v>269</v>
      </c>
      <c r="H214" s="5" t="s">
        <v>338</v>
      </c>
      <c r="I214" s="5" t="s">
        <v>91</v>
      </c>
      <c r="J214" s="5" t="str">
        <f>IFERROR(VLOOKUP(I214,'ATP - Keywords'!$E:$E,1,FALSE),"#N/A")</f>
        <v>https://www.columvi.com/columvi-results/clinical-trial-results.html</v>
      </c>
      <c r="K214" s="5" t="str">
        <f t="shared" si="3"/>
        <v>https://www.columvi.com/columvi-results/clinical-trial-results.html?c=gft-1890321fc12</v>
      </c>
      <c r="L214" s="5" t="b">
        <v>1</v>
      </c>
      <c r="M214" s="5" t="s">
        <v>5</v>
      </c>
    </row>
    <row r="215" spans="1:13" ht="15.75" customHeight="1" x14ac:dyDescent="0.3">
      <c r="A215" s="5" t="s">
        <v>321</v>
      </c>
      <c r="B215" s="5" t="s">
        <v>327</v>
      </c>
      <c r="C215" s="5" t="s">
        <v>90</v>
      </c>
      <c r="D215" s="2" t="str">
        <f>IFERROR(VLOOKUP(C215,'ATP - Keywords'!$B:$B,1,FALSE),"#N/A")</f>
        <v>Unbranded DLBCL Results</v>
      </c>
      <c r="E215" s="5" t="s">
        <v>217</v>
      </c>
      <c r="F215" s="2" t="str">
        <f>IFERROR(VLOOKUP(E215,'ATP - Keywords'!$C:$C,1,FALSE),"#N/A")</f>
        <v>results for relapsed refractory large b cell lymphoma</v>
      </c>
      <c r="G215" s="5" t="s">
        <v>269</v>
      </c>
      <c r="H215" s="5" t="s">
        <v>338</v>
      </c>
      <c r="I215" s="5" t="s">
        <v>91</v>
      </c>
      <c r="J215" s="5" t="str">
        <f>IFERROR(VLOOKUP(I215,'ATP - Keywords'!$E:$E,1,FALSE),"#N/A")</f>
        <v>https://www.columvi.com/columvi-results/clinical-trial-results.html</v>
      </c>
      <c r="K215" s="5" t="str">
        <f t="shared" si="3"/>
        <v>https://www.columvi.com/columvi-results/clinical-trial-results.html?c=gft-1890321fc12</v>
      </c>
      <c r="L215" s="5" t="b">
        <v>1</v>
      </c>
      <c r="M215" s="5" t="s">
        <v>5</v>
      </c>
    </row>
    <row r="216" spans="1:13" ht="15.75" customHeight="1" x14ac:dyDescent="0.3">
      <c r="A216" s="5" t="s">
        <v>321</v>
      </c>
      <c r="B216" s="5" t="s">
        <v>327</v>
      </c>
      <c r="C216" s="5" t="s">
        <v>90</v>
      </c>
      <c r="D216" s="2" t="str">
        <f>IFERROR(VLOOKUP(C216,'ATP - Keywords'!$B:$B,1,FALSE),"#N/A")</f>
        <v>Unbranded DLBCL Results</v>
      </c>
      <c r="E216" s="5" t="s">
        <v>218</v>
      </c>
      <c r="F216" s="2" t="str">
        <f>IFERROR(VLOOKUP(E216,'ATP - Keywords'!$C:$C,1,FALSE),"#N/A")</f>
        <v>dlbcl clinical results</v>
      </c>
      <c r="G216" s="5" t="s">
        <v>269</v>
      </c>
      <c r="H216" s="5" t="s">
        <v>338</v>
      </c>
      <c r="I216" s="5" t="s">
        <v>91</v>
      </c>
      <c r="J216" s="5" t="str">
        <f>IFERROR(VLOOKUP(I216,'ATP - Keywords'!$E:$E,1,FALSE),"#N/A")</f>
        <v>https://www.columvi.com/columvi-results/clinical-trial-results.html</v>
      </c>
      <c r="K216" s="5" t="str">
        <f t="shared" si="3"/>
        <v>https://www.columvi.com/columvi-results/clinical-trial-results.html?c=gft-1890321fc12</v>
      </c>
      <c r="L216" s="5" t="b">
        <v>1</v>
      </c>
      <c r="M216" s="5" t="s">
        <v>5</v>
      </c>
    </row>
    <row r="217" spans="1:13" ht="15.75" customHeight="1" x14ac:dyDescent="0.3">
      <c r="A217" s="5" t="s">
        <v>321</v>
      </c>
      <c r="B217" s="5" t="s">
        <v>327</v>
      </c>
      <c r="C217" s="5" t="s">
        <v>90</v>
      </c>
      <c r="D217" s="2" t="str">
        <f>IFERROR(VLOOKUP(C217,'ATP - Keywords'!$B:$B,1,FALSE),"#N/A")</f>
        <v>Unbranded DLBCL Results</v>
      </c>
      <c r="E217" s="5" t="s">
        <v>219</v>
      </c>
      <c r="F217" s="2" t="str">
        <f>IFERROR(VLOOKUP(E217,'ATP - Keywords'!$C:$C,1,FALSE),"#N/A")</f>
        <v>dlbcl clinical trial data</v>
      </c>
      <c r="G217" s="5" t="s">
        <v>269</v>
      </c>
      <c r="H217" s="5" t="s">
        <v>338</v>
      </c>
      <c r="I217" s="5" t="s">
        <v>91</v>
      </c>
      <c r="J217" s="5" t="str">
        <f>IFERROR(VLOOKUP(I217,'ATP - Keywords'!$E:$E,1,FALSE),"#N/A")</f>
        <v>https://www.columvi.com/columvi-results/clinical-trial-results.html</v>
      </c>
      <c r="K217" s="5" t="str">
        <f t="shared" si="3"/>
        <v>https://www.columvi.com/columvi-results/clinical-trial-results.html?c=gft-1890321fc12</v>
      </c>
      <c r="L217" s="5" t="b">
        <v>1</v>
      </c>
      <c r="M217" s="5" t="s">
        <v>5</v>
      </c>
    </row>
    <row r="218" spans="1:13" ht="15.75" customHeight="1" x14ac:dyDescent="0.3">
      <c r="A218" s="5" t="s">
        <v>321</v>
      </c>
      <c r="B218" s="5" t="s">
        <v>327</v>
      </c>
      <c r="C218" s="5" t="s">
        <v>90</v>
      </c>
      <c r="D218" s="2" t="str">
        <f>IFERROR(VLOOKUP(C218,'ATP - Keywords'!$B:$B,1,FALSE),"#N/A")</f>
        <v>Unbranded DLBCL Results</v>
      </c>
      <c r="E218" s="5" t="s">
        <v>220</v>
      </c>
      <c r="F218" s="2" t="str">
        <f>IFERROR(VLOOKUP(E218,'ATP - Keywords'!$C:$C,1,FALSE),"#N/A")</f>
        <v>diffuse large b cell lymphoma clinical trials</v>
      </c>
      <c r="G218" s="5" t="s">
        <v>269</v>
      </c>
      <c r="H218" s="5" t="s">
        <v>338</v>
      </c>
      <c r="I218" s="5" t="s">
        <v>91</v>
      </c>
      <c r="J218" s="5" t="str">
        <f>IFERROR(VLOOKUP(I218,'ATP - Keywords'!$E:$E,1,FALSE),"#N/A")</f>
        <v>https://www.columvi.com/columvi-results/clinical-trial-results.html</v>
      </c>
      <c r="K218" s="5" t="str">
        <f t="shared" si="3"/>
        <v>https://www.columvi.com/columvi-results/clinical-trial-results.html?c=gft-1890321fc12</v>
      </c>
      <c r="L218" s="5" t="b">
        <v>1</v>
      </c>
      <c r="M218" s="5" t="s">
        <v>5</v>
      </c>
    </row>
    <row r="219" spans="1:13" ht="15.75" customHeight="1" x14ac:dyDescent="0.3">
      <c r="A219" s="5" t="s">
        <v>321</v>
      </c>
      <c r="B219" s="5" t="s">
        <v>327</v>
      </c>
      <c r="C219" s="5" t="s">
        <v>90</v>
      </c>
      <c r="D219" s="2" t="str">
        <f>IFERROR(VLOOKUP(C219,'ATP - Keywords'!$B:$B,1,FALSE),"#N/A")</f>
        <v>Unbranded DLBCL Results</v>
      </c>
      <c r="E219" s="5" t="s">
        <v>221</v>
      </c>
      <c r="F219" s="2" t="str">
        <f>IFERROR(VLOOKUP(E219,'ATP - Keywords'!$C:$C,1,FALSE),"#N/A")</f>
        <v>dlbcl clinical studies</v>
      </c>
      <c r="G219" s="5" t="s">
        <v>269</v>
      </c>
      <c r="H219" s="5" t="s">
        <v>338</v>
      </c>
      <c r="I219" s="5" t="s">
        <v>91</v>
      </c>
      <c r="J219" s="5" t="str">
        <f>IFERROR(VLOOKUP(I219,'ATP - Keywords'!$E:$E,1,FALSE),"#N/A")</f>
        <v>https://www.columvi.com/columvi-results/clinical-trial-results.html</v>
      </c>
      <c r="K219" s="5" t="str">
        <f t="shared" si="3"/>
        <v>https://www.columvi.com/columvi-results/clinical-trial-results.html?c=gft-1890321fc12</v>
      </c>
      <c r="L219" s="5" t="b">
        <v>1</v>
      </c>
      <c r="M219" s="5" t="s">
        <v>5</v>
      </c>
    </row>
    <row r="220" spans="1:13" ht="15.75" customHeight="1" x14ac:dyDescent="0.3">
      <c r="A220" s="2" t="s">
        <v>328</v>
      </c>
      <c r="B220" s="2" t="s">
        <v>329</v>
      </c>
      <c r="C220" s="2" t="s">
        <v>95</v>
      </c>
      <c r="D220" s="2" t="str">
        <f>IFERROR(VLOOKUP(C220,'ATP - Keywords'!$B:$B,1,FALSE),"#N/A")</f>
        <v>Unbranded DLBCL Developments</v>
      </c>
      <c r="E220" s="2" t="s">
        <v>222</v>
      </c>
      <c r="F220" s="2" t="str">
        <f>IFERROR(VLOOKUP(E220,'ATP - Keywords'!$C:$C,1,FALSE),"#N/A")</f>
        <v>latest developments in dlbcl</v>
      </c>
      <c r="G220" s="2" t="s">
        <v>269</v>
      </c>
      <c r="H220" s="2" t="s">
        <v>339</v>
      </c>
      <c r="I220" s="2" t="s">
        <v>96</v>
      </c>
      <c r="J220" s="2" t="str">
        <f>IFERROR(VLOOKUP(I220,'ATP - Keywords'!$E:$E,1,FALSE),"#N/A")</f>
        <v>https://www.columvi.com/about-columvi/how-it-works.html</v>
      </c>
      <c r="K220" s="2" t="str">
        <f t="shared" si="3"/>
        <v>https://www.columvi.com/about-columvi/how-it-works.html?c=gft-1890321fc12</v>
      </c>
      <c r="L220" s="2" t="b">
        <v>1</v>
      </c>
      <c r="M220" s="2" t="s">
        <v>5</v>
      </c>
    </row>
    <row r="221" spans="1:13" ht="15.75" customHeight="1" x14ac:dyDescent="0.3">
      <c r="A221" s="2" t="s">
        <v>328</v>
      </c>
      <c r="B221" s="2" t="s">
        <v>329</v>
      </c>
      <c r="C221" s="2" t="s">
        <v>95</v>
      </c>
      <c r="D221" s="2" t="str">
        <f>IFERROR(VLOOKUP(C221,'ATP - Keywords'!$B:$B,1,FALSE),"#N/A")</f>
        <v>Unbranded DLBCL Developments</v>
      </c>
      <c r="E221" s="2" t="s">
        <v>224</v>
      </c>
      <c r="F221" s="2" t="str">
        <f>IFERROR(VLOOKUP(E221,'ATP - Keywords'!$C:$C,1,FALSE),"#N/A")</f>
        <v>dlbcl latest developments</v>
      </c>
      <c r="G221" s="2" t="s">
        <v>269</v>
      </c>
      <c r="H221" s="2" t="s">
        <v>339</v>
      </c>
      <c r="I221" s="2" t="s">
        <v>96</v>
      </c>
      <c r="J221" s="2" t="str">
        <f>IFERROR(VLOOKUP(I221,'ATP - Keywords'!$E:$E,1,FALSE),"#N/A")</f>
        <v>https://www.columvi.com/about-columvi/how-it-works.html</v>
      </c>
      <c r="K221" s="2" t="str">
        <f t="shared" si="3"/>
        <v>https://www.columvi.com/about-columvi/how-it-works.html?c=gft-1890321fc12</v>
      </c>
      <c r="L221" s="2" t="b">
        <v>1</v>
      </c>
      <c r="M221" s="2" t="s">
        <v>5</v>
      </c>
    </row>
    <row r="222" spans="1:13" ht="15.75" customHeight="1" x14ac:dyDescent="0.3">
      <c r="A222" s="2" t="s">
        <v>328</v>
      </c>
      <c r="B222" s="2" t="s">
        <v>329</v>
      </c>
      <c r="C222" s="2" t="s">
        <v>95</v>
      </c>
      <c r="D222" s="2" t="str">
        <f>IFERROR(VLOOKUP(C222,'ATP - Keywords'!$B:$B,1,FALSE),"#N/A")</f>
        <v>Unbranded DLBCL Developments</v>
      </c>
      <c r="E222" s="2" t="s">
        <v>225</v>
      </c>
      <c r="F222" s="2" t="str">
        <f>IFERROR(VLOOKUP(E222,'ATP - Keywords'!$C:$C,1,FALSE),"#N/A")</f>
        <v>latest developments in diffuse large b cell lymphoma</v>
      </c>
      <c r="G222" s="2" t="s">
        <v>269</v>
      </c>
      <c r="H222" s="2" t="s">
        <v>339</v>
      </c>
      <c r="I222" s="2" t="s">
        <v>96</v>
      </c>
      <c r="J222" s="2" t="str">
        <f>IFERROR(VLOOKUP(I222,'ATP - Keywords'!$E:$E,1,FALSE),"#N/A")</f>
        <v>https://www.columvi.com/about-columvi/how-it-works.html</v>
      </c>
      <c r="K222" s="2" t="str">
        <f t="shared" si="3"/>
        <v>https://www.columvi.com/about-columvi/how-it-works.html?c=gft-1890321fc12</v>
      </c>
      <c r="L222" s="2" t="b">
        <v>1</v>
      </c>
      <c r="M222" s="2" t="s">
        <v>5</v>
      </c>
    </row>
    <row r="223" spans="1:13" ht="15.75" customHeight="1" x14ac:dyDescent="0.3">
      <c r="A223" s="2" t="s">
        <v>328</v>
      </c>
      <c r="B223" s="2" t="s">
        <v>329</v>
      </c>
      <c r="C223" s="2" t="s">
        <v>95</v>
      </c>
      <c r="D223" s="2" t="str">
        <f>IFERROR(VLOOKUP(C223,'ATP - Keywords'!$B:$B,1,FALSE),"#N/A")</f>
        <v>Unbranded DLBCL Developments</v>
      </c>
      <c r="E223" s="2" t="s">
        <v>226</v>
      </c>
      <c r="F223" s="2" t="str">
        <f>IFERROR(VLOOKUP(E223,'ATP - Keywords'!$C:$C,1,FALSE),"#N/A")</f>
        <v>diffuse large b cell lymphoma latest developments</v>
      </c>
      <c r="G223" s="2" t="s">
        <v>269</v>
      </c>
      <c r="H223" s="2" t="s">
        <v>339</v>
      </c>
      <c r="I223" s="2" t="s">
        <v>96</v>
      </c>
      <c r="J223" s="2" t="str">
        <f>IFERROR(VLOOKUP(I223,'ATP - Keywords'!$E:$E,1,FALSE),"#N/A")</f>
        <v>https://www.columvi.com/about-columvi/how-it-works.html</v>
      </c>
      <c r="K223" s="2" t="str">
        <f t="shared" si="3"/>
        <v>https://www.columvi.com/about-columvi/how-it-works.html?c=gft-1890321fc12</v>
      </c>
      <c r="L223" s="2" t="b">
        <v>1</v>
      </c>
      <c r="M223" s="2" t="s">
        <v>5</v>
      </c>
    </row>
    <row r="224" spans="1:13" ht="15.75" customHeight="1" x14ac:dyDescent="0.3">
      <c r="A224" s="5" t="s">
        <v>328</v>
      </c>
      <c r="B224" s="5" t="s">
        <v>330</v>
      </c>
      <c r="C224" s="5" t="s">
        <v>98</v>
      </c>
      <c r="D224" s="2" t="str">
        <f>IFERROR(VLOOKUP(C224,'ATP - Keywords'!$B:$B,1,FALSE),"#N/A")</f>
        <v>Unbranded DLBCL Treatment</v>
      </c>
      <c r="E224" s="5" t="s">
        <v>227</v>
      </c>
      <c r="F224" s="2" t="str">
        <f>IFERROR(VLOOKUP(E224,'ATP - Keywords'!$C:$C,1,FALSE),"#N/A")</f>
        <v>dlbcl treatment</v>
      </c>
      <c r="G224" s="5" t="s">
        <v>269</v>
      </c>
      <c r="H224" s="5" t="s">
        <v>340</v>
      </c>
      <c r="I224" s="5" t="s">
        <v>101</v>
      </c>
      <c r="J224" s="5" t="str">
        <f>IFERROR(VLOOKUP(I224,'ATP - Keywords'!$E:$E,1,FALSE),"#N/A")</f>
        <v>https://www.columvi.com/about/treatment-goals-for-3l-dlbcl.html</v>
      </c>
      <c r="K224" s="5" t="str">
        <f t="shared" si="3"/>
        <v>https://www.columvi.com/about/treatment-goals-for-3l-dlbcl.html?c=gft-1890321fc12</v>
      </c>
      <c r="L224" s="5" t="b">
        <v>1</v>
      </c>
      <c r="M224" s="5" t="s">
        <v>5</v>
      </c>
    </row>
    <row r="225" spans="1:13" ht="15.75" customHeight="1" x14ac:dyDescent="0.3">
      <c r="A225" s="5" t="s">
        <v>328</v>
      </c>
      <c r="B225" s="5" t="s">
        <v>330</v>
      </c>
      <c r="C225" s="5" t="s">
        <v>98</v>
      </c>
      <c r="D225" s="2" t="str">
        <f>IFERROR(VLOOKUP(C225,'ATP - Keywords'!$B:$B,1,FALSE),"#N/A")</f>
        <v>Unbranded DLBCL Treatment</v>
      </c>
      <c r="E225" s="5" t="s">
        <v>229</v>
      </c>
      <c r="F225" s="2" t="str">
        <f>IFERROR(VLOOKUP(E225,'ATP - Keywords'!$C:$C,1,FALSE),"#N/A")</f>
        <v>dlbcl treatment options</v>
      </c>
      <c r="G225" s="5" t="s">
        <v>269</v>
      </c>
      <c r="H225" s="5" t="s">
        <v>340</v>
      </c>
      <c r="I225" s="5" t="s">
        <v>101</v>
      </c>
      <c r="J225" s="5" t="str">
        <f>IFERROR(VLOOKUP(I225,'ATP - Keywords'!$E:$E,1,FALSE),"#N/A")</f>
        <v>https://www.columvi.com/about/treatment-goals-for-3l-dlbcl.html</v>
      </c>
      <c r="K225" s="5" t="str">
        <f t="shared" si="3"/>
        <v>https://www.columvi.com/about/treatment-goals-for-3l-dlbcl.html?c=gft-1890321fc12</v>
      </c>
      <c r="L225" s="5" t="b">
        <v>1</v>
      </c>
      <c r="M225" s="5" t="s">
        <v>5</v>
      </c>
    </row>
    <row r="226" spans="1:13" ht="15.75" customHeight="1" x14ac:dyDescent="0.3">
      <c r="A226" s="5" t="s">
        <v>328</v>
      </c>
      <c r="B226" s="5" t="s">
        <v>330</v>
      </c>
      <c r="C226" s="5" t="s">
        <v>98</v>
      </c>
      <c r="D226" s="2" t="str">
        <f>IFERROR(VLOOKUP(C226,'ATP - Keywords'!$B:$B,1,FALSE),"#N/A")</f>
        <v>Unbranded DLBCL Treatment</v>
      </c>
      <c r="E226" s="5" t="s">
        <v>230</v>
      </c>
      <c r="F226" s="2" t="str">
        <f>IFERROR(VLOOKUP(E226,'ATP - Keywords'!$C:$C,1,FALSE),"#N/A")</f>
        <v>treating dlbcl</v>
      </c>
      <c r="G226" s="5" t="s">
        <v>269</v>
      </c>
      <c r="H226" s="5" t="s">
        <v>340</v>
      </c>
      <c r="I226" s="5" t="s">
        <v>101</v>
      </c>
      <c r="J226" s="5" t="str">
        <f>IFERROR(VLOOKUP(I226,'ATP - Keywords'!$E:$E,1,FALSE),"#N/A")</f>
        <v>https://www.columvi.com/about/treatment-goals-for-3l-dlbcl.html</v>
      </c>
      <c r="K226" s="5" t="str">
        <f t="shared" si="3"/>
        <v>https://www.columvi.com/about/treatment-goals-for-3l-dlbcl.html?c=gft-1890321fc12</v>
      </c>
      <c r="L226" s="5" t="b">
        <v>1</v>
      </c>
      <c r="M226" s="5" t="s">
        <v>5</v>
      </c>
    </row>
    <row r="227" spans="1:13" ht="15.75" customHeight="1" x14ac:dyDescent="0.3">
      <c r="A227" s="5" t="s">
        <v>328</v>
      </c>
      <c r="B227" s="5" t="s">
        <v>330</v>
      </c>
      <c r="C227" s="5" t="s">
        <v>98</v>
      </c>
      <c r="D227" s="2" t="str">
        <f>IFERROR(VLOOKUP(C227,'ATP - Keywords'!$B:$B,1,FALSE),"#N/A")</f>
        <v>Unbranded DLBCL Treatment</v>
      </c>
      <c r="E227" s="5" t="s">
        <v>231</v>
      </c>
      <c r="F227" s="2" t="str">
        <f>IFERROR(VLOOKUP(E227,'ATP - Keywords'!$C:$C,1,FALSE),"#N/A")</f>
        <v>how to treat dlbcl</v>
      </c>
      <c r="G227" s="5" t="s">
        <v>269</v>
      </c>
      <c r="H227" s="5" t="s">
        <v>340</v>
      </c>
      <c r="I227" s="5" t="s">
        <v>101</v>
      </c>
      <c r="J227" s="5" t="str">
        <f>IFERROR(VLOOKUP(I227,'ATP - Keywords'!$E:$E,1,FALSE),"#N/A")</f>
        <v>https://www.columvi.com/about/treatment-goals-for-3l-dlbcl.html</v>
      </c>
      <c r="K227" s="5" t="str">
        <f t="shared" si="3"/>
        <v>https://www.columvi.com/about/treatment-goals-for-3l-dlbcl.html?c=gft-1890321fc12</v>
      </c>
      <c r="L227" s="5" t="b">
        <v>1</v>
      </c>
      <c r="M227" s="5" t="s">
        <v>5</v>
      </c>
    </row>
    <row r="228" spans="1:13" ht="15.75" customHeight="1" x14ac:dyDescent="0.3">
      <c r="A228" s="5" t="s">
        <v>328</v>
      </c>
      <c r="B228" s="5" t="s">
        <v>330</v>
      </c>
      <c r="C228" s="5" t="s">
        <v>98</v>
      </c>
      <c r="D228" s="2" t="str">
        <f>IFERROR(VLOOKUP(C228,'ATP - Keywords'!$B:$B,1,FALSE),"#N/A")</f>
        <v>Unbranded DLBCL Treatment</v>
      </c>
      <c r="E228" s="5" t="s">
        <v>232</v>
      </c>
      <c r="F228" s="2" t="str">
        <f>IFERROR(VLOOKUP(E228,'ATP - Keywords'!$C:$C,1,FALSE),"#N/A")</f>
        <v>treatments for dlbcl</v>
      </c>
      <c r="G228" s="5" t="s">
        <v>269</v>
      </c>
      <c r="H228" s="5" t="s">
        <v>340</v>
      </c>
      <c r="I228" s="5" t="s">
        <v>101</v>
      </c>
      <c r="J228" s="5" t="str">
        <f>IFERROR(VLOOKUP(I228,'ATP - Keywords'!$E:$E,1,FALSE),"#N/A")</f>
        <v>https://www.columvi.com/about/treatment-goals-for-3l-dlbcl.html</v>
      </c>
      <c r="K228" s="5" t="str">
        <f t="shared" si="3"/>
        <v>https://www.columvi.com/about/treatment-goals-for-3l-dlbcl.html?c=gft-1890321fc12</v>
      </c>
      <c r="L228" s="5" t="b">
        <v>1</v>
      </c>
      <c r="M228" s="5" t="s">
        <v>5</v>
      </c>
    </row>
    <row r="229" spans="1:13" ht="15.75" customHeight="1" x14ac:dyDescent="0.3">
      <c r="A229" s="5" t="s">
        <v>328</v>
      </c>
      <c r="B229" s="5" t="s">
        <v>330</v>
      </c>
      <c r="C229" s="5" t="s">
        <v>98</v>
      </c>
      <c r="D229" s="2" t="str">
        <f>IFERROR(VLOOKUP(C229,'ATP - Keywords'!$B:$B,1,FALSE),"#N/A")</f>
        <v>Unbranded DLBCL Treatment</v>
      </c>
      <c r="E229" s="5" t="s">
        <v>233</v>
      </c>
      <c r="F229" s="2" t="str">
        <f>IFERROR(VLOOKUP(E229,'ATP - Keywords'!$C:$C,1,FALSE),"#N/A")</f>
        <v>treat dlbcl</v>
      </c>
      <c r="G229" s="5" t="s">
        <v>269</v>
      </c>
      <c r="H229" s="5" t="s">
        <v>340</v>
      </c>
      <c r="I229" s="5" t="s">
        <v>101</v>
      </c>
      <c r="J229" s="5" t="str">
        <f>IFERROR(VLOOKUP(I229,'ATP - Keywords'!$E:$E,1,FALSE),"#N/A")</f>
        <v>https://www.columvi.com/about/treatment-goals-for-3l-dlbcl.html</v>
      </c>
      <c r="K229" s="5" t="str">
        <f t="shared" si="3"/>
        <v>https://www.columvi.com/about/treatment-goals-for-3l-dlbcl.html?c=gft-1890321fc12</v>
      </c>
      <c r="L229" s="5" t="b">
        <v>1</v>
      </c>
      <c r="M229" s="5" t="s">
        <v>5</v>
      </c>
    </row>
    <row r="230" spans="1:13" ht="15.75" customHeight="1" x14ac:dyDescent="0.3">
      <c r="A230" s="5" t="s">
        <v>328</v>
      </c>
      <c r="B230" s="5" t="s">
        <v>330</v>
      </c>
      <c r="C230" s="5" t="s">
        <v>98</v>
      </c>
      <c r="D230" s="2" t="str">
        <f>IFERROR(VLOOKUP(C230,'ATP - Keywords'!$B:$B,1,FALSE),"#N/A")</f>
        <v>Unbranded DLBCL Treatment</v>
      </c>
      <c r="E230" s="5" t="s">
        <v>234</v>
      </c>
      <c r="F230" s="2" t="str">
        <f>IFERROR(VLOOKUP(E230,'ATP - Keywords'!$C:$C,1,FALSE),"#N/A")</f>
        <v>diffuse large b cell lymphoma treatment</v>
      </c>
      <c r="G230" s="5" t="s">
        <v>269</v>
      </c>
      <c r="H230" s="5" t="s">
        <v>340</v>
      </c>
      <c r="I230" s="5" t="s">
        <v>101</v>
      </c>
      <c r="J230" s="5" t="str">
        <f>IFERROR(VLOOKUP(I230,'ATP - Keywords'!$E:$E,1,FALSE),"#N/A")</f>
        <v>https://www.columvi.com/about/treatment-goals-for-3l-dlbcl.html</v>
      </c>
      <c r="K230" s="5" t="str">
        <f t="shared" si="3"/>
        <v>https://www.columvi.com/about/treatment-goals-for-3l-dlbcl.html?c=gft-1890321fc12</v>
      </c>
      <c r="L230" s="5" t="b">
        <v>1</v>
      </c>
      <c r="M230" s="5" t="s">
        <v>5</v>
      </c>
    </row>
    <row r="231" spans="1:13" ht="15.75" customHeight="1" x14ac:dyDescent="0.3">
      <c r="A231" s="5" t="s">
        <v>328</v>
      </c>
      <c r="B231" s="5" t="s">
        <v>330</v>
      </c>
      <c r="C231" s="5" t="s">
        <v>98</v>
      </c>
      <c r="D231" s="2" t="str">
        <f>IFERROR(VLOOKUP(C231,'ATP - Keywords'!$B:$B,1,FALSE),"#N/A")</f>
        <v>Unbranded DLBCL Treatment</v>
      </c>
      <c r="E231" s="5" t="s">
        <v>235</v>
      </c>
      <c r="F231" s="2" t="str">
        <f>IFERROR(VLOOKUP(E231,'ATP - Keywords'!$C:$C,1,FALSE),"#N/A")</f>
        <v>treatment for diffuse large b cell lymphoma</v>
      </c>
      <c r="G231" s="5" t="s">
        <v>269</v>
      </c>
      <c r="H231" s="5" t="s">
        <v>340</v>
      </c>
      <c r="I231" s="5" t="s">
        <v>101</v>
      </c>
      <c r="J231" s="5" t="str">
        <f>IFERROR(VLOOKUP(I231,'ATP - Keywords'!$E:$E,1,FALSE),"#N/A")</f>
        <v>https://www.columvi.com/about/treatment-goals-for-3l-dlbcl.html</v>
      </c>
      <c r="K231" s="5" t="str">
        <f t="shared" si="3"/>
        <v>https://www.columvi.com/about/treatment-goals-for-3l-dlbcl.html?c=gft-1890321fc12</v>
      </c>
      <c r="L231" s="5" t="b">
        <v>1</v>
      </c>
      <c r="M231" s="5" t="s">
        <v>5</v>
      </c>
    </row>
    <row r="232" spans="1:13" ht="15.75" customHeight="1" x14ac:dyDescent="0.3">
      <c r="A232" s="5" t="s">
        <v>328</v>
      </c>
      <c r="B232" s="5" t="s">
        <v>330</v>
      </c>
      <c r="C232" s="5" t="s">
        <v>98</v>
      </c>
      <c r="D232" s="2" t="str">
        <f>IFERROR(VLOOKUP(C232,'ATP - Keywords'!$B:$B,1,FALSE),"#N/A")</f>
        <v>Unbranded DLBCL Treatment</v>
      </c>
      <c r="E232" s="5" t="s">
        <v>236</v>
      </c>
      <c r="F232" s="2" t="str">
        <f>IFERROR(VLOOKUP(E232,'ATP - Keywords'!$C:$C,1,FALSE),"#N/A")</f>
        <v>lbcl treatment</v>
      </c>
      <c r="G232" s="5" t="s">
        <v>269</v>
      </c>
      <c r="H232" s="5" t="s">
        <v>340</v>
      </c>
      <c r="I232" s="5" t="s">
        <v>101</v>
      </c>
      <c r="J232" s="5" t="str">
        <f>IFERROR(VLOOKUP(I232,'ATP - Keywords'!$E:$E,1,FALSE),"#N/A")</f>
        <v>https://www.columvi.com/about/treatment-goals-for-3l-dlbcl.html</v>
      </c>
      <c r="K232" s="5" t="str">
        <f t="shared" si="3"/>
        <v>https://www.columvi.com/about/treatment-goals-for-3l-dlbcl.html?c=gft-1890321fc12</v>
      </c>
      <c r="L232" s="5" t="b">
        <v>1</v>
      </c>
      <c r="M232" s="5" t="s">
        <v>5</v>
      </c>
    </row>
    <row r="233" spans="1:13" ht="15.75" customHeight="1" x14ac:dyDescent="0.3">
      <c r="A233" s="5" t="s">
        <v>328</v>
      </c>
      <c r="B233" s="5" t="s">
        <v>330</v>
      </c>
      <c r="C233" s="5" t="s">
        <v>98</v>
      </c>
      <c r="D233" s="2" t="str">
        <f>IFERROR(VLOOKUP(C233,'ATP - Keywords'!$B:$B,1,FALSE),"#N/A")</f>
        <v>Unbranded DLBCL Treatment</v>
      </c>
      <c r="E233" s="5" t="s">
        <v>237</v>
      </c>
      <c r="F233" s="2" t="str">
        <f>IFERROR(VLOOKUP(E233,'ATP - Keywords'!$C:$C,1,FALSE),"#N/A")</f>
        <v>r/r dlbcl treatment</v>
      </c>
      <c r="G233" s="5" t="s">
        <v>269</v>
      </c>
      <c r="H233" s="5" t="s">
        <v>340</v>
      </c>
      <c r="I233" s="5" t="s">
        <v>101</v>
      </c>
      <c r="J233" s="5" t="str">
        <f>IFERROR(VLOOKUP(I233,'ATP - Keywords'!$E:$E,1,FALSE),"#N/A")</f>
        <v>https://www.columvi.com/about/treatment-goals-for-3l-dlbcl.html</v>
      </c>
      <c r="K233" s="5" t="str">
        <f t="shared" si="3"/>
        <v>https://www.columvi.com/about/treatment-goals-for-3l-dlbcl.html?c=gft-1890321fc12</v>
      </c>
      <c r="L233" s="5" t="b">
        <v>1</v>
      </c>
      <c r="M233" s="5" t="s">
        <v>5</v>
      </c>
    </row>
    <row r="234" spans="1:13" ht="15.75" customHeight="1" x14ac:dyDescent="0.3">
      <c r="A234" s="5" t="s">
        <v>328</v>
      </c>
      <c r="B234" s="5" t="s">
        <v>330</v>
      </c>
      <c r="C234" s="5" t="s">
        <v>98</v>
      </c>
      <c r="D234" s="2" t="str">
        <f>IFERROR(VLOOKUP(C234,'ATP - Keywords'!$B:$B,1,FALSE),"#N/A")</f>
        <v>Unbranded DLBCL Treatment</v>
      </c>
      <c r="E234" s="5" t="s">
        <v>238</v>
      </c>
      <c r="F234" s="2" t="str">
        <f>IFERROR(VLOOKUP(E234,'ATP - Keywords'!$C:$C,1,FALSE),"#N/A")</f>
        <v>relapsed or refractory dlbcl treatment option</v>
      </c>
      <c r="G234" s="5" t="s">
        <v>269</v>
      </c>
      <c r="H234" s="5" t="s">
        <v>340</v>
      </c>
      <c r="I234" s="5" t="s">
        <v>101</v>
      </c>
      <c r="J234" s="5" t="str">
        <f>IFERROR(VLOOKUP(I234,'ATP - Keywords'!$E:$E,1,FALSE),"#N/A")</f>
        <v>https://www.columvi.com/about/treatment-goals-for-3l-dlbcl.html</v>
      </c>
      <c r="K234" s="5" t="str">
        <f t="shared" si="3"/>
        <v>https://www.columvi.com/about/treatment-goals-for-3l-dlbcl.html?c=gft-1890321fc12</v>
      </c>
      <c r="L234" s="5" t="b">
        <v>1</v>
      </c>
      <c r="M234" s="5" t="s">
        <v>5</v>
      </c>
    </row>
    <row r="235" spans="1:13" ht="15.75" customHeight="1" x14ac:dyDescent="0.3">
      <c r="A235" s="5" t="s">
        <v>328</v>
      </c>
      <c r="B235" s="5" t="s">
        <v>330</v>
      </c>
      <c r="C235" s="5" t="s">
        <v>98</v>
      </c>
      <c r="D235" s="2" t="str">
        <f>IFERROR(VLOOKUP(C235,'ATP - Keywords'!$B:$B,1,FALSE),"#N/A")</f>
        <v>Unbranded DLBCL Treatment</v>
      </c>
      <c r="E235" s="5" t="s">
        <v>239</v>
      </c>
      <c r="F235" s="2" t="str">
        <f>IFERROR(VLOOKUP(E235,'ATP - Keywords'!$C:$C,1,FALSE),"#N/A")</f>
        <v>treatments for relapsed or refractory dlbcl</v>
      </c>
      <c r="G235" s="5" t="s">
        <v>269</v>
      </c>
      <c r="H235" s="5" t="s">
        <v>340</v>
      </c>
      <c r="I235" s="5" t="s">
        <v>101</v>
      </c>
      <c r="J235" s="5" t="str">
        <f>IFERROR(VLOOKUP(I235,'ATP - Keywords'!$E:$E,1,FALSE),"#N/A")</f>
        <v>https://www.columvi.com/about/treatment-goals-for-3l-dlbcl.html</v>
      </c>
      <c r="K235" s="5" t="str">
        <f t="shared" si="3"/>
        <v>https://www.columvi.com/about/treatment-goals-for-3l-dlbcl.html?c=gft-1890321fc12</v>
      </c>
      <c r="L235" s="5" t="b">
        <v>1</v>
      </c>
      <c r="M235" s="5" t="s">
        <v>5</v>
      </c>
    </row>
    <row r="236" spans="1:13" ht="15.75" customHeight="1" x14ac:dyDescent="0.3">
      <c r="A236" s="5" t="s">
        <v>328</v>
      </c>
      <c r="B236" s="5" t="s">
        <v>330</v>
      </c>
      <c r="C236" s="5" t="s">
        <v>98</v>
      </c>
      <c r="D236" s="2" t="str">
        <f>IFERROR(VLOOKUP(C236,'ATP - Keywords'!$B:$B,1,FALSE),"#N/A")</f>
        <v>Unbranded DLBCL Treatment</v>
      </c>
      <c r="E236" s="5" t="s">
        <v>240</v>
      </c>
      <c r="F236" s="2" t="str">
        <f>IFERROR(VLOOKUP(E236,'ATP - Keywords'!$C:$C,1,FALSE),"#N/A")</f>
        <v>treatment for large b cell lymphoma</v>
      </c>
      <c r="G236" s="5" t="s">
        <v>269</v>
      </c>
      <c r="H236" s="5" t="s">
        <v>340</v>
      </c>
      <c r="I236" s="5" t="s">
        <v>101</v>
      </c>
      <c r="J236" s="5" t="str">
        <f>IFERROR(VLOOKUP(I236,'ATP - Keywords'!$E:$E,1,FALSE),"#N/A")</f>
        <v>https://www.columvi.com/about/treatment-goals-for-3l-dlbcl.html</v>
      </c>
      <c r="K236" s="5" t="str">
        <f t="shared" si="3"/>
        <v>https://www.columvi.com/about/treatment-goals-for-3l-dlbcl.html?c=gft-1890321fc12</v>
      </c>
      <c r="L236" s="5" t="b">
        <v>1</v>
      </c>
      <c r="M236" s="5" t="s">
        <v>5</v>
      </c>
    </row>
    <row r="237" spans="1:13" ht="15.75" customHeight="1" x14ac:dyDescent="0.3">
      <c r="A237" s="5" t="s">
        <v>328</v>
      </c>
      <c r="B237" s="5" t="s">
        <v>330</v>
      </c>
      <c r="C237" s="5" t="s">
        <v>98</v>
      </c>
      <c r="D237" s="2" t="str">
        <f>IFERROR(VLOOKUP(C237,'ATP - Keywords'!$B:$B,1,FALSE),"#N/A")</f>
        <v>Unbranded DLBCL Treatment</v>
      </c>
      <c r="E237" s="5" t="s">
        <v>241</v>
      </c>
      <c r="F237" s="2" t="str">
        <f>IFERROR(VLOOKUP(E237,'ATP - Keywords'!$C:$C,1,FALSE),"#N/A")</f>
        <v>treatment for b cell lymphoma</v>
      </c>
      <c r="G237" s="5" t="s">
        <v>269</v>
      </c>
      <c r="H237" s="5" t="s">
        <v>340</v>
      </c>
      <c r="I237" s="5" t="s">
        <v>101</v>
      </c>
      <c r="J237" s="5" t="str">
        <f>IFERROR(VLOOKUP(I237,'ATP - Keywords'!$E:$E,1,FALSE),"#N/A")</f>
        <v>https://www.columvi.com/about/treatment-goals-for-3l-dlbcl.html</v>
      </c>
      <c r="K237" s="5" t="str">
        <f t="shared" si="3"/>
        <v>https://www.columvi.com/about/treatment-goals-for-3l-dlbcl.html?c=gft-1890321fc12</v>
      </c>
      <c r="L237" s="5" t="b">
        <v>1</v>
      </c>
      <c r="M237" s="5" t="s">
        <v>5</v>
      </c>
    </row>
    <row r="238" spans="1:13" ht="15.75" customHeight="1" x14ac:dyDescent="0.3">
      <c r="A238" s="5" t="s">
        <v>328</v>
      </c>
      <c r="B238" s="5" t="s">
        <v>330</v>
      </c>
      <c r="C238" s="5" t="s">
        <v>98</v>
      </c>
      <c r="D238" s="2" t="str">
        <f>IFERROR(VLOOKUP(C238,'ATP - Keywords'!$B:$B,1,FALSE),"#N/A")</f>
        <v>Unbranded DLBCL Treatment</v>
      </c>
      <c r="E238" s="5" t="s">
        <v>242</v>
      </c>
      <c r="F238" s="2" t="str">
        <f>IFERROR(VLOOKUP(E238,'ATP - Keywords'!$C:$C,1,FALSE),"#N/A")</f>
        <v>latest treatment options for diffuse b cell lymphoma</v>
      </c>
      <c r="G238" s="5" t="s">
        <v>269</v>
      </c>
      <c r="H238" s="5" t="s">
        <v>340</v>
      </c>
      <c r="I238" s="5" t="s">
        <v>101</v>
      </c>
      <c r="J238" s="5" t="str">
        <f>IFERROR(VLOOKUP(I238,'ATP - Keywords'!$E:$E,1,FALSE),"#N/A")</f>
        <v>https://www.columvi.com/about/treatment-goals-for-3l-dlbcl.html</v>
      </c>
      <c r="K238" s="5" t="str">
        <f t="shared" si="3"/>
        <v>https://www.columvi.com/about/treatment-goals-for-3l-dlbcl.html?c=gft-1890321fc12</v>
      </c>
      <c r="L238" s="5" t="b">
        <v>1</v>
      </c>
      <c r="M238" s="5" t="s">
        <v>5</v>
      </c>
    </row>
    <row r="239" spans="1:13" ht="15.75" customHeight="1" x14ac:dyDescent="0.3">
      <c r="A239" s="5" t="s">
        <v>328</v>
      </c>
      <c r="B239" s="5" t="s">
        <v>330</v>
      </c>
      <c r="C239" s="5" t="s">
        <v>98</v>
      </c>
      <c r="D239" s="2" t="str">
        <f>IFERROR(VLOOKUP(C239,'ATP - Keywords'!$B:$B,1,FALSE),"#N/A")</f>
        <v>Unbranded DLBCL Treatment</v>
      </c>
      <c r="E239" s="5" t="s">
        <v>243</v>
      </c>
      <c r="F239" s="2" t="str">
        <f>IFERROR(VLOOKUP(E239,'ATP - Keywords'!$C:$C,1,FALSE),"#N/A")</f>
        <v>treatments in dlbcl</v>
      </c>
      <c r="G239" s="5" t="s">
        <v>269</v>
      </c>
      <c r="H239" s="5" t="s">
        <v>340</v>
      </c>
      <c r="I239" s="5" t="s">
        <v>101</v>
      </c>
      <c r="J239" s="5" t="str">
        <f>IFERROR(VLOOKUP(I239,'ATP - Keywords'!$E:$E,1,FALSE),"#N/A")</f>
        <v>https://www.columvi.com/about/treatment-goals-for-3l-dlbcl.html</v>
      </c>
      <c r="K239" s="5" t="str">
        <f t="shared" si="3"/>
        <v>https://www.columvi.com/about/treatment-goals-for-3l-dlbcl.html?c=gft-1890321fc12</v>
      </c>
      <c r="L239" s="5" t="b">
        <v>1</v>
      </c>
      <c r="M239" s="5" t="s">
        <v>5</v>
      </c>
    </row>
    <row r="240" spans="1:13" ht="15.75" customHeight="1" x14ac:dyDescent="0.3">
      <c r="A240" s="5" t="s">
        <v>328</v>
      </c>
      <c r="B240" s="5" t="s">
        <v>330</v>
      </c>
      <c r="C240" s="5" t="s">
        <v>98</v>
      </c>
      <c r="D240" s="2" t="str">
        <f>IFERROR(VLOOKUP(C240,'ATP - Keywords'!$B:$B,1,FALSE),"#N/A")</f>
        <v>Unbranded DLBCL Treatment</v>
      </c>
      <c r="E240" s="5" t="s">
        <v>244</v>
      </c>
      <c r="F240" s="2" t="str">
        <f>IFERROR(VLOOKUP(E240,'ATP - Keywords'!$C:$C,1,FALSE),"#N/A")</f>
        <v>dlbcl treatments</v>
      </c>
      <c r="G240" s="5" t="s">
        <v>269</v>
      </c>
      <c r="H240" s="5" t="s">
        <v>340</v>
      </c>
      <c r="I240" s="5" t="s">
        <v>101</v>
      </c>
      <c r="J240" s="5" t="str">
        <f>IFERROR(VLOOKUP(I240,'ATP - Keywords'!$E:$E,1,FALSE),"#N/A")</f>
        <v>https://www.columvi.com/about/treatment-goals-for-3l-dlbcl.html</v>
      </c>
      <c r="K240" s="5" t="str">
        <f t="shared" si="3"/>
        <v>https://www.columvi.com/about/treatment-goals-for-3l-dlbcl.html?c=gft-1890321fc12</v>
      </c>
      <c r="L240" s="5" t="b">
        <v>1</v>
      </c>
      <c r="M240" s="5" t="s">
        <v>5</v>
      </c>
    </row>
    <row r="241" spans="1:13" ht="15.75" customHeight="1" x14ac:dyDescent="0.3">
      <c r="A241" s="5" t="s">
        <v>328</v>
      </c>
      <c r="B241" s="5" t="s">
        <v>330</v>
      </c>
      <c r="C241" s="5" t="s">
        <v>98</v>
      </c>
      <c r="D241" s="2" t="str">
        <f>IFERROR(VLOOKUP(C241,'ATP - Keywords'!$B:$B,1,FALSE),"#N/A")</f>
        <v>Unbranded DLBCL Treatment</v>
      </c>
      <c r="E241" s="5" t="s">
        <v>245</v>
      </c>
      <c r="F241" s="2" t="str">
        <f>IFERROR(VLOOKUP(E241,'ATP - Keywords'!$C:$C,1,FALSE),"#N/A")</f>
        <v>treatments in diffuse large b cell lymphoma</v>
      </c>
      <c r="G241" s="5" t="s">
        <v>269</v>
      </c>
      <c r="H241" s="5" t="s">
        <v>340</v>
      </c>
      <c r="I241" s="5" t="s">
        <v>101</v>
      </c>
      <c r="J241" s="5" t="str">
        <f>IFERROR(VLOOKUP(I241,'ATP - Keywords'!$E:$E,1,FALSE),"#N/A")</f>
        <v>https://www.columvi.com/about/treatment-goals-for-3l-dlbcl.html</v>
      </c>
      <c r="K241" s="5" t="str">
        <f t="shared" si="3"/>
        <v>https://www.columvi.com/about/treatment-goals-for-3l-dlbcl.html?c=gft-1890321fc12</v>
      </c>
      <c r="L241" s="5" t="b">
        <v>1</v>
      </c>
      <c r="M241" s="5" t="s">
        <v>5</v>
      </c>
    </row>
    <row r="242" spans="1:13" ht="15.75" customHeight="1" x14ac:dyDescent="0.3">
      <c r="A242" s="5" t="s">
        <v>328</v>
      </c>
      <c r="B242" s="5" t="s">
        <v>330</v>
      </c>
      <c r="C242" s="5" t="s">
        <v>98</v>
      </c>
      <c r="D242" s="2" t="str">
        <f>IFERROR(VLOOKUP(C242,'ATP - Keywords'!$B:$B,1,FALSE),"#N/A")</f>
        <v>Unbranded DLBCL Treatment</v>
      </c>
      <c r="E242" s="5" t="s">
        <v>246</v>
      </c>
      <c r="F242" s="2" t="str">
        <f>IFERROR(VLOOKUP(E242,'ATP - Keywords'!$C:$C,1,FALSE),"#N/A")</f>
        <v>large b cell lymphoma drug</v>
      </c>
      <c r="G242" s="5" t="s">
        <v>269</v>
      </c>
      <c r="H242" s="5" t="s">
        <v>340</v>
      </c>
      <c r="I242" s="5" t="s">
        <v>101</v>
      </c>
      <c r="J242" s="5" t="str">
        <f>IFERROR(VLOOKUP(I242,'ATP - Keywords'!$E:$E,1,FALSE),"#N/A")</f>
        <v>https://www.columvi.com/about/treatment-goals-for-3l-dlbcl.html</v>
      </c>
      <c r="K242" s="5" t="str">
        <f t="shared" si="3"/>
        <v>https://www.columvi.com/about/treatment-goals-for-3l-dlbcl.html?c=gft-1890321fc12</v>
      </c>
      <c r="L242" s="5" t="b">
        <v>1</v>
      </c>
      <c r="M242" s="5" t="s">
        <v>5</v>
      </c>
    </row>
    <row r="243" spans="1:13" ht="15.75" customHeight="1" x14ac:dyDescent="0.3">
      <c r="A243" s="5" t="s">
        <v>328</v>
      </c>
      <c r="B243" s="5" t="s">
        <v>330</v>
      </c>
      <c r="C243" s="5" t="s">
        <v>98</v>
      </c>
      <c r="D243" s="2" t="str">
        <f>IFERROR(VLOOKUP(C243,'ATP - Keywords'!$B:$B,1,FALSE),"#N/A")</f>
        <v>Unbranded DLBCL Treatment</v>
      </c>
      <c r="E243" s="5" t="s">
        <v>247</v>
      </c>
      <c r="F243" s="2" t="str">
        <f>IFERROR(VLOOKUP(E243,'ATP - Keywords'!$C:$C,1,FALSE),"#N/A")</f>
        <v>relapsed refractory large b cell lymphoma drug</v>
      </c>
      <c r="G243" s="5" t="s">
        <v>269</v>
      </c>
      <c r="H243" s="5" t="s">
        <v>340</v>
      </c>
      <c r="I243" s="5" t="s">
        <v>101</v>
      </c>
      <c r="J243" s="5" t="str">
        <f>IFERROR(VLOOKUP(I243,'ATP - Keywords'!$E:$E,1,FALSE),"#N/A")</f>
        <v>https://www.columvi.com/about/treatment-goals-for-3l-dlbcl.html</v>
      </c>
      <c r="K243" s="5" t="str">
        <f t="shared" si="3"/>
        <v>https://www.columvi.com/about/treatment-goals-for-3l-dlbcl.html?c=gft-1890321fc12</v>
      </c>
      <c r="L243" s="5" t="b">
        <v>1</v>
      </c>
      <c r="M243" s="5" t="s">
        <v>5</v>
      </c>
    </row>
    <row r="244" spans="1:13" ht="15.75" customHeight="1" x14ac:dyDescent="0.3">
      <c r="A244" s="5" t="s">
        <v>328</v>
      </c>
      <c r="B244" s="5" t="s">
        <v>330</v>
      </c>
      <c r="C244" s="5" t="s">
        <v>98</v>
      </c>
      <c r="D244" s="2" t="str">
        <f>IFERROR(VLOOKUP(C244,'ATP - Keywords'!$B:$B,1,FALSE),"#N/A")</f>
        <v>Unbranded DLBCL Treatment</v>
      </c>
      <c r="E244" s="5" t="s">
        <v>248</v>
      </c>
      <c r="F244" s="2" t="str">
        <f>IFERROR(VLOOKUP(E244,'ATP - Keywords'!$C:$C,1,FALSE),"#N/A")</f>
        <v>non-hodgkin's treatment</v>
      </c>
      <c r="G244" s="5" t="s">
        <v>269</v>
      </c>
      <c r="H244" s="5" t="s">
        <v>340</v>
      </c>
      <c r="I244" s="5" t="s">
        <v>101</v>
      </c>
      <c r="J244" s="5" t="str">
        <f>IFERROR(VLOOKUP(I244,'ATP - Keywords'!$E:$E,1,FALSE),"#N/A")</f>
        <v>https://www.columvi.com/about/treatment-goals-for-3l-dlbcl.html</v>
      </c>
      <c r="K244" s="5" t="str">
        <f t="shared" si="3"/>
        <v>https://www.columvi.com/about/treatment-goals-for-3l-dlbcl.html?c=gft-1890321fc12</v>
      </c>
      <c r="L244" s="5" t="b">
        <v>1</v>
      </c>
      <c r="M244" s="5" t="s">
        <v>5</v>
      </c>
    </row>
    <row r="245" spans="1:13" ht="15.75" customHeight="1" x14ac:dyDescent="0.3">
      <c r="A245" s="5" t="s">
        <v>328</v>
      </c>
      <c r="B245" s="5" t="s">
        <v>330</v>
      </c>
      <c r="C245" s="5" t="s">
        <v>98</v>
      </c>
      <c r="D245" s="2" t="str">
        <f>IFERROR(VLOOKUP(C245,'ATP - Keywords'!$B:$B,1,FALSE),"#N/A")</f>
        <v>Unbranded DLBCL Treatment</v>
      </c>
      <c r="E245" s="5" t="s">
        <v>249</v>
      </c>
      <c r="F245" s="2" t="str">
        <f>IFERROR(VLOOKUP(E245,'ATP - Keywords'!$C:$C,1,FALSE),"#N/A")</f>
        <v>non-hodgkin's lymphoma treatment</v>
      </c>
      <c r="G245" s="5" t="s">
        <v>269</v>
      </c>
      <c r="H245" s="5" t="s">
        <v>340</v>
      </c>
      <c r="I245" s="5" t="s">
        <v>101</v>
      </c>
      <c r="J245" s="5" t="str">
        <f>IFERROR(VLOOKUP(I245,'ATP - Keywords'!$E:$E,1,FALSE),"#N/A")</f>
        <v>https://www.columvi.com/about/treatment-goals-for-3l-dlbcl.html</v>
      </c>
      <c r="K245" s="5" t="str">
        <f t="shared" si="3"/>
        <v>https://www.columvi.com/about/treatment-goals-for-3l-dlbcl.html?c=gft-1890321fc12</v>
      </c>
      <c r="L245" s="5" t="b">
        <v>1</v>
      </c>
      <c r="M245" s="5" t="s">
        <v>5</v>
      </c>
    </row>
    <row r="246" spans="1:13" ht="15.75" customHeight="1" x14ac:dyDescent="0.3">
      <c r="A246" s="5" t="s">
        <v>328</v>
      </c>
      <c r="B246" s="5" t="s">
        <v>330</v>
      </c>
      <c r="C246" s="5" t="s">
        <v>98</v>
      </c>
      <c r="D246" s="2" t="str">
        <f>IFERROR(VLOOKUP(C246,'ATP - Keywords'!$B:$B,1,FALSE),"#N/A")</f>
        <v>Unbranded DLBCL Treatment</v>
      </c>
      <c r="E246" s="5" t="s">
        <v>250</v>
      </c>
      <c r="F246" s="2" t="str">
        <f>IFERROR(VLOOKUP(E246,'ATP - Keywords'!$C:$C,1,FALSE),"#N/A")</f>
        <v>treatment for non-hodgkin's disease</v>
      </c>
      <c r="G246" s="5" t="s">
        <v>269</v>
      </c>
      <c r="H246" s="5" t="s">
        <v>340</v>
      </c>
      <c r="I246" s="5" t="s">
        <v>101</v>
      </c>
      <c r="J246" s="5" t="str">
        <f>IFERROR(VLOOKUP(I246,'ATP - Keywords'!$E:$E,1,FALSE),"#N/A")</f>
        <v>https://www.columvi.com/about/treatment-goals-for-3l-dlbcl.html</v>
      </c>
      <c r="K246" s="5" t="str">
        <f t="shared" si="3"/>
        <v>https://www.columvi.com/about/treatment-goals-for-3l-dlbcl.html?c=gft-1890321fc12</v>
      </c>
      <c r="L246" s="5" t="b">
        <v>1</v>
      </c>
      <c r="M246" s="5" t="s">
        <v>5</v>
      </c>
    </row>
    <row r="247" spans="1:13" ht="15.75" customHeight="1" x14ac:dyDescent="0.3">
      <c r="A247" s="5" t="s">
        <v>328</v>
      </c>
      <c r="B247" s="5" t="s">
        <v>330</v>
      </c>
      <c r="C247" s="5" t="s">
        <v>98</v>
      </c>
      <c r="D247" s="2" t="str">
        <f>IFERROR(VLOOKUP(C247,'ATP - Keywords'!$B:$B,1,FALSE),"#N/A")</f>
        <v>Unbranded DLBCL Treatment</v>
      </c>
      <c r="E247" s="5" t="s">
        <v>251</v>
      </c>
      <c r="F247" s="2" t="str">
        <f>IFERROR(VLOOKUP(E247,'ATP - Keywords'!$C:$C,1,FALSE),"#N/A")</f>
        <v>dlbcl starting treatment</v>
      </c>
      <c r="G247" s="5" t="s">
        <v>269</v>
      </c>
      <c r="H247" s="5" t="s">
        <v>340</v>
      </c>
      <c r="I247" s="5" t="s">
        <v>101</v>
      </c>
      <c r="J247" s="5" t="str">
        <f>IFERROR(VLOOKUP(I247,'ATP - Keywords'!$E:$E,1,FALSE),"#N/A")</f>
        <v>https://www.columvi.com/about/treatment-goals-for-3l-dlbcl.html</v>
      </c>
      <c r="K247" s="5" t="str">
        <f t="shared" si="3"/>
        <v>https://www.columvi.com/about/treatment-goals-for-3l-dlbcl.html?c=gft-1890321fc12</v>
      </c>
      <c r="L247" s="5" t="b">
        <v>1</v>
      </c>
      <c r="M247" s="5" t="s">
        <v>5</v>
      </c>
    </row>
    <row r="248" spans="1:13" ht="15.75" customHeight="1" x14ac:dyDescent="0.3">
      <c r="A248" s="5" t="s">
        <v>328</v>
      </c>
      <c r="B248" s="5" t="s">
        <v>331</v>
      </c>
      <c r="C248" s="5" t="s">
        <v>103</v>
      </c>
      <c r="D248" s="2" t="str">
        <f>IFERROR(VLOOKUP(C248,'ATP - Keywords'!$B:$B,1,FALSE),"#N/A")</f>
        <v>Unbranded DLBCL Medication</v>
      </c>
      <c r="E248" s="5" t="s">
        <v>252</v>
      </c>
      <c r="F248" s="2" t="str">
        <f>IFERROR(VLOOKUP(E248,'ATP - Keywords'!$C:$C,1,FALSE),"#N/A")</f>
        <v>medication for large b cell lymphoma</v>
      </c>
      <c r="G248" s="5" t="s">
        <v>269</v>
      </c>
      <c r="H248" s="5" t="s">
        <v>341</v>
      </c>
      <c r="I248" s="5" t="s">
        <v>107</v>
      </c>
      <c r="J248" s="5" t="str">
        <f>IFERROR(VLOOKUP(I248,'ATP - Keywords'!$E:$E,1,FALSE),"#N/A")</f>
        <v>https://www.columvi.com/starting-columvi/how-columvi-is-given.html</v>
      </c>
      <c r="K248" s="5" t="str">
        <f t="shared" si="3"/>
        <v>https://www.columvi.com/starting-columvi/how-columvi-is-given.html?c=gft-1890321fc12</v>
      </c>
      <c r="L248" s="5" t="b">
        <v>1</v>
      </c>
      <c r="M248" s="5" t="s">
        <v>5</v>
      </c>
    </row>
    <row r="249" spans="1:13" ht="15.75" customHeight="1" x14ac:dyDescent="0.3">
      <c r="A249" s="5" t="s">
        <v>328</v>
      </c>
      <c r="B249" s="5" t="s">
        <v>331</v>
      </c>
      <c r="C249" s="5" t="s">
        <v>103</v>
      </c>
      <c r="D249" s="2" t="str">
        <f>IFERROR(VLOOKUP(C249,'ATP - Keywords'!$B:$B,1,FALSE),"#N/A")</f>
        <v>Unbranded DLBCL Medication</v>
      </c>
      <c r="E249" s="5" t="s">
        <v>254</v>
      </c>
      <c r="F249" s="2" t="str">
        <f>IFERROR(VLOOKUP(E249,'ATP - Keywords'!$C:$C,1,FALSE),"#N/A")</f>
        <v>medication for dlbcl</v>
      </c>
      <c r="G249" s="5" t="s">
        <v>269</v>
      </c>
      <c r="H249" s="5" t="s">
        <v>341</v>
      </c>
      <c r="I249" s="5" t="s">
        <v>107</v>
      </c>
      <c r="J249" s="5" t="str">
        <f>IFERROR(VLOOKUP(I249,'ATP - Keywords'!$E:$E,1,FALSE),"#N/A")</f>
        <v>https://www.columvi.com/starting-columvi/how-columvi-is-given.html</v>
      </c>
      <c r="K249" s="5" t="str">
        <f t="shared" si="3"/>
        <v>https://www.columvi.com/starting-columvi/how-columvi-is-given.html?c=gft-1890321fc12</v>
      </c>
      <c r="L249" s="5" t="b">
        <v>1</v>
      </c>
      <c r="M249" s="5" t="s">
        <v>5</v>
      </c>
    </row>
    <row r="250" spans="1:13" ht="15.75" customHeight="1" x14ac:dyDescent="0.3">
      <c r="A250" s="5" t="s">
        <v>328</v>
      </c>
      <c r="B250" s="5" t="s">
        <v>331</v>
      </c>
      <c r="C250" s="5" t="s">
        <v>103</v>
      </c>
      <c r="D250" s="2" t="str">
        <f>IFERROR(VLOOKUP(C250,'ATP - Keywords'!$B:$B,1,FALSE),"#N/A")</f>
        <v>Unbranded DLBCL Medication</v>
      </c>
      <c r="E250" s="5" t="s">
        <v>255</v>
      </c>
      <c r="F250" s="2" t="str">
        <f>IFERROR(VLOOKUP(E250,'ATP - Keywords'!$C:$C,1,FALSE),"#N/A")</f>
        <v>dlbcl medication</v>
      </c>
      <c r="G250" s="5" t="s">
        <v>269</v>
      </c>
      <c r="H250" s="5" t="s">
        <v>341</v>
      </c>
      <c r="I250" s="5" t="s">
        <v>107</v>
      </c>
      <c r="J250" s="5" t="str">
        <f>IFERROR(VLOOKUP(I250,'ATP - Keywords'!$E:$E,1,FALSE),"#N/A")</f>
        <v>https://www.columvi.com/starting-columvi/how-columvi-is-given.html</v>
      </c>
      <c r="K250" s="5" t="str">
        <f t="shared" si="3"/>
        <v>https://www.columvi.com/starting-columvi/how-columvi-is-given.html?c=gft-1890321fc12</v>
      </c>
      <c r="L250" s="5" t="b">
        <v>1</v>
      </c>
      <c r="M250" s="5" t="s">
        <v>5</v>
      </c>
    </row>
    <row r="251" spans="1:13" ht="15.75" customHeight="1" x14ac:dyDescent="0.3">
      <c r="A251" s="5" t="s">
        <v>328</v>
      </c>
      <c r="B251" s="5" t="s">
        <v>331</v>
      </c>
      <c r="C251" s="5" t="s">
        <v>103</v>
      </c>
      <c r="D251" s="2" t="str">
        <f>IFERROR(VLOOKUP(C251,'ATP - Keywords'!$B:$B,1,FALSE),"#N/A")</f>
        <v>Unbranded DLBCL Medication</v>
      </c>
      <c r="E251" s="5" t="s">
        <v>256</v>
      </c>
      <c r="F251" s="2" t="str">
        <f>IFERROR(VLOOKUP(E251,'ATP - Keywords'!$C:$C,1,FALSE),"#N/A")</f>
        <v>diffuse large b cell lymphoma medication</v>
      </c>
      <c r="G251" s="5" t="s">
        <v>269</v>
      </c>
      <c r="H251" s="5" t="s">
        <v>341</v>
      </c>
      <c r="I251" s="5" t="s">
        <v>107</v>
      </c>
      <c r="J251" s="5" t="str">
        <f>IFERROR(VLOOKUP(I251,'ATP - Keywords'!$E:$E,1,FALSE),"#N/A")</f>
        <v>https://www.columvi.com/starting-columvi/how-columvi-is-given.html</v>
      </c>
      <c r="K251" s="5" t="str">
        <f t="shared" si="3"/>
        <v>https://www.columvi.com/starting-columvi/how-columvi-is-given.html?c=gft-1890321fc12</v>
      </c>
      <c r="L251" s="5" t="b">
        <v>1</v>
      </c>
      <c r="M251" s="5" t="s">
        <v>5</v>
      </c>
    </row>
    <row r="252" spans="1:13" ht="15.75" customHeight="1" x14ac:dyDescent="0.3">
      <c r="A252" s="5" t="s">
        <v>328</v>
      </c>
      <c r="B252" s="5" t="s">
        <v>331</v>
      </c>
      <c r="C252" s="5" t="s">
        <v>103</v>
      </c>
      <c r="D252" s="2" t="str">
        <f>IFERROR(VLOOKUP(C252,'ATP - Keywords'!$B:$B,1,FALSE),"#N/A")</f>
        <v>Unbranded DLBCL Medication</v>
      </c>
      <c r="E252" s="5" t="s">
        <v>257</v>
      </c>
      <c r="F252" s="2" t="str">
        <f>IFERROR(VLOOKUP(E252,'ATP - Keywords'!$C:$C,1,FALSE),"#N/A")</f>
        <v>medication options for dlbcl</v>
      </c>
      <c r="G252" s="5" t="s">
        <v>269</v>
      </c>
      <c r="H252" s="5" t="s">
        <v>341</v>
      </c>
      <c r="I252" s="5" t="s">
        <v>107</v>
      </c>
      <c r="J252" s="5" t="str">
        <f>IFERROR(VLOOKUP(I252,'ATP - Keywords'!$E:$E,1,FALSE),"#N/A")</f>
        <v>https://www.columvi.com/starting-columvi/how-columvi-is-given.html</v>
      </c>
      <c r="K252" s="5" t="str">
        <f t="shared" si="3"/>
        <v>https://www.columvi.com/starting-columvi/how-columvi-is-given.html?c=gft-1890321fc12</v>
      </c>
      <c r="L252" s="5" t="b">
        <v>1</v>
      </c>
      <c r="M252" s="5" t="s">
        <v>5</v>
      </c>
    </row>
    <row r="253" spans="1:13" ht="15.75" customHeight="1" x14ac:dyDescent="0.3">
      <c r="A253" s="5" t="s">
        <v>328</v>
      </c>
      <c r="B253" s="5" t="s">
        <v>331</v>
      </c>
      <c r="C253" s="5" t="s">
        <v>103</v>
      </c>
      <c r="D253" s="2" t="str">
        <f>IFERROR(VLOOKUP(C253,'ATP - Keywords'!$B:$B,1,FALSE),"#N/A")</f>
        <v>Unbranded DLBCL Medication</v>
      </c>
      <c r="E253" s="5" t="s">
        <v>258</v>
      </c>
      <c r="F253" s="2" t="str">
        <f>IFERROR(VLOOKUP(E253,'ATP - Keywords'!$C:$C,1,FALSE),"#N/A")</f>
        <v>relapsed or refractory dlbcl medication</v>
      </c>
      <c r="G253" s="5" t="s">
        <v>269</v>
      </c>
      <c r="H253" s="5" t="s">
        <v>341</v>
      </c>
      <c r="I253" s="5" t="s">
        <v>107</v>
      </c>
      <c r="J253" s="5" t="str">
        <f>IFERROR(VLOOKUP(I253,'ATP - Keywords'!$E:$E,1,FALSE),"#N/A")</f>
        <v>https://www.columvi.com/starting-columvi/how-columvi-is-given.html</v>
      </c>
      <c r="K253" s="5" t="str">
        <f t="shared" si="3"/>
        <v>https://www.columvi.com/starting-columvi/how-columvi-is-given.html?c=gft-1890321fc12</v>
      </c>
      <c r="L253" s="5" t="b">
        <v>1</v>
      </c>
      <c r="M253" s="5" t="s">
        <v>5</v>
      </c>
    </row>
    <row r="254" spans="1:13" ht="15.75" customHeight="1" x14ac:dyDescent="0.3">
      <c r="A254" s="5" t="s">
        <v>328</v>
      </c>
      <c r="B254" s="5" t="s">
        <v>332</v>
      </c>
      <c r="C254" s="5" t="s">
        <v>109</v>
      </c>
      <c r="D254" s="2" t="str">
        <f>IFERROR(VLOOKUP(C254,'ATP - Keywords'!$B:$B,1,FALSE),"#N/A")</f>
        <v>Unbranded DLBCL Therapy</v>
      </c>
      <c r="E254" s="5" t="s">
        <v>259</v>
      </c>
      <c r="F254" s="2" t="str">
        <f>IFERROR(VLOOKUP(E254,'ATP - Keywords'!$C:$C,1,FALSE),"#N/A")</f>
        <v>therapy for dlbcl</v>
      </c>
      <c r="G254" s="5" t="s">
        <v>269</v>
      </c>
      <c r="H254" s="5" t="s">
        <v>341</v>
      </c>
      <c r="I254" s="5" t="s">
        <v>107</v>
      </c>
      <c r="J254" s="5" t="str">
        <f>IFERROR(VLOOKUP(I254,'ATP - Keywords'!$E:$E,1,FALSE),"#N/A")</f>
        <v>https://www.columvi.com/starting-columvi/how-columvi-is-given.html</v>
      </c>
      <c r="K254" s="5" t="str">
        <f t="shared" si="3"/>
        <v>https://www.columvi.com/starting-columvi/how-columvi-is-given.html?c=gft-1890321fc12</v>
      </c>
      <c r="L254" s="5" t="b">
        <v>1</v>
      </c>
      <c r="M254" s="5" t="s">
        <v>5</v>
      </c>
    </row>
    <row r="255" spans="1:13" ht="15.75" customHeight="1" x14ac:dyDescent="0.3">
      <c r="A255" s="5" t="s">
        <v>328</v>
      </c>
      <c r="B255" s="5" t="s">
        <v>332</v>
      </c>
      <c r="C255" s="5" t="s">
        <v>109</v>
      </c>
      <c r="D255" s="2" t="str">
        <f>IFERROR(VLOOKUP(C255,'ATP - Keywords'!$B:$B,1,FALSE),"#N/A")</f>
        <v>Unbranded DLBCL Therapy</v>
      </c>
      <c r="E255" s="5" t="s">
        <v>260</v>
      </c>
      <c r="F255" s="2" t="str">
        <f>IFERROR(VLOOKUP(E255,'ATP - Keywords'!$C:$C,1,FALSE),"#N/A")</f>
        <v>therapy for large b cell lymphoma</v>
      </c>
      <c r="G255" s="5" t="s">
        <v>269</v>
      </c>
      <c r="H255" s="5" t="s">
        <v>341</v>
      </c>
      <c r="I255" s="5" t="s">
        <v>107</v>
      </c>
      <c r="J255" s="5" t="str">
        <f>IFERROR(VLOOKUP(I255,'ATP - Keywords'!$E:$E,1,FALSE),"#N/A")</f>
        <v>https://www.columvi.com/starting-columvi/how-columvi-is-given.html</v>
      </c>
      <c r="K255" s="5" t="str">
        <f t="shared" si="3"/>
        <v>https://www.columvi.com/starting-columvi/how-columvi-is-given.html?c=gft-1890321fc12</v>
      </c>
      <c r="L255" s="5" t="b">
        <v>1</v>
      </c>
      <c r="M255" s="5" t="s">
        <v>5</v>
      </c>
    </row>
    <row r="256" spans="1:13" ht="15.75" customHeight="1" x14ac:dyDescent="0.3">
      <c r="A256" s="5" t="s">
        <v>328</v>
      </c>
      <c r="B256" s="5" t="s">
        <v>332</v>
      </c>
      <c r="C256" s="5" t="s">
        <v>109</v>
      </c>
      <c r="D256" s="2" t="str">
        <f>IFERROR(VLOOKUP(C256,'ATP - Keywords'!$B:$B,1,FALSE),"#N/A")</f>
        <v>Unbranded DLBCL Therapy</v>
      </c>
      <c r="E256" s="5" t="s">
        <v>261</v>
      </c>
      <c r="F256" s="2" t="str">
        <f>IFERROR(VLOOKUP(E256,'ATP - Keywords'!$C:$C,1,FALSE),"#N/A")</f>
        <v>therapy for relapsed refractory large b cell lymphoma</v>
      </c>
      <c r="G256" s="5" t="s">
        <v>269</v>
      </c>
      <c r="H256" s="5" t="s">
        <v>341</v>
      </c>
      <c r="I256" s="5" t="s">
        <v>107</v>
      </c>
      <c r="J256" s="5" t="str">
        <f>IFERROR(VLOOKUP(I256,'ATP - Keywords'!$E:$E,1,FALSE),"#N/A")</f>
        <v>https://www.columvi.com/starting-columvi/how-columvi-is-given.html</v>
      </c>
      <c r="K256" s="5" t="str">
        <f t="shared" si="3"/>
        <v>https://www.columvi.com/starting-columvi/how-columvi-is-given.html?c=gft-1890321fc12</v>
      </c>
      <c r="L256" s="5" t="b">
        <v>1</v>
      </c>
      <c r="M256" s="5" t="s">
        <v>5</v>
      </c>
    </row>
    <row r="257" spans="1:13" ht="15.75" customHeight="1" x14ac:dyDescent="0.3">
      <c r="A257" s="5" t="s">
        <v>328</v>
      </c>
      <c r="B257" s="5" t="s">
        <v>332</v>
      </c>
      <c r="C257" s="5" t="s">
        <v>109</v>
      </c>
      <c r="D257" s="2" t="str">
        <f>IFERROR(VLOOKUP(C257,'ATP - Keywords'!$B:$B,1,FALSE),"#N/A")</f>
        <v>Unbranded DLBCL Therapy</v>
      </c>
      <c r="E257" s="5" t="s">
        <v>262</v>
      </c>
      <c r="F257" s="2" t="str">
        <f>IFERROR(VLOOKUP(E257,'ATP - Keywords'!$C:$C,1,FALSE),"#N/A")</f>
        <v>latest therapies for dlbcl</v>
      </c>
      <c r="G257" s="5" t="s">
        <v>269</v>
      </c>
      <c r="H257" s="5" t="s">
        <v>341</v>
      </c>
      <c r="I257" s="5" t="s">
        <v>107</v>
      </c>
      <c r="J257" s="5" t="str">
        <f>IFERROR(VLOOKUP(I257,'ATP - Keywords'!$E:$E,1,FALSE),"#N/A")</f>
        <v>https://www.columvi.com/starting-columvi/how-columvi-is-given.html</v>
      </c>
      <c r="K257" s="5" t="str">
        <f t="shared" si="3"/>
        <v>https://www.columvi.com/starting-columvi/how-columvi-is-given.html?c=gft-1890321fc12</v>
      </c>
      <c r="L257" s="5" t="b">
        <v>1</v>
      </c>
      <c r="M257" s="5" t="s">
        <v>5</v>
      </c>
    </row>
    <row r="258" spans="1:13" ht="15.75" customHeight="1" x14ac:dyDescent="0.3">
      <c r="A258" s="5" t="s">
        <v>328</v>
      </c>
      <c r="B258" s="5" t="s">
        <v>332</v>
      </c>
      <c r="C258" s="5" t="s">
        <v>109</v>
      </c>
      <c r="D258" s="2" t="str">
        <f>IFERROR(VLOOKUP(C258,'ATP - Keywords'!$B:$B,1,FALSE),"#N/A")</f>
        <v>Unbranded DLBCL Therapy</v>
      </c>
      <c r="E258" s="5" t="s">
        <v>263</v>
      </c>
      <c r="F258" s="2" t="str">
        <f>IFERROR(VLOOKUP(E258,'ATP - Keywords'!$C:$C,1,FALSE),"#N/A")</f>
        <v>latest therapy for diffuse large b cell lymphoma</v>
      </c>
      <c r="G258" s="5" t="s">
        <v>269</v>
      </c>
      <c r="H258" s="5" t="s">
        <v>341</v>
      </c>
      <c r="I258" s="5" t="s">
        <v>107</v>
      </c>
      <c r="J258" s="5" t="str">
        <f>IFERROR(VLOOKUP(I258,'ATP - Keywords'!$E:$E,1,FALSE),"#N/A")</f>
        <v>https://www.columvi.com/starting-columvi/how-columvi-is-given.html</v>
      </c>
      <c r="K258" s="5" t="str">
        <f t="shared" ref="K258:K263" si="4">CONCATENATE(J258,"?c=",M258)</f>
        <v>https://www.columvi.com/starting-columvi/how-columvi-is-given.html?c=gft-1890321fc12</v>
      </c>
      <c r="L258" s="5" t="b">
        <v>1</v>
      </c>
      <c r="M258" s="5" t="s">
        <v>5</v>
      </c>
    </row>
    <row r="259" spans="1:13" ht="15.75" customHeight="1" x14ac:dyDescent="0.3">
      <c r="A259" s="5" t="s">
        <v>328</v>
      </c>
      <c r="B259" s="5" t="s">
        <v>333</v>
      </c>
      <c r="C259" s="5" t="s">
        <v>113</v>
      </c>
      <c r="D259" s="2" t="str">
        <f>IFERROR(VLOOKUP(C259,'ATP - Keywords'!$B:$B,1,FALSE),"#N/A")</f>
        <v>Unbranded DLBCL Dosing</v>
      </c>
      <c r="E259" s="5" t="s">
        <v>264</v>
      </c>
      <c r="F259" s="2" t="str">
        <f>IFERROR(VLOOKUP(E259,'ATP - Keywords'!$C:$C,1,FALSE),"#N/A")</f>
        <v>dlbcl infusion</v>
      </c>
      <c r="G259" s="5" t="s">
        <v>269</v>
      </c>
      <c r="H259" s="5" t="s">
        <v>341</v>
      </c>
      <c r="I259" s="5" t="s">
        <v>107</v>
      </c>
      <c r="J259" s="5" t="str">
        <f>IFERROR(VLOOKUP(I259,'ATP - Keywords'!$E:$E,1,FALSE),"#N/A")</f>
        <v>https://www.columvi.com/starting-columvi/how-columvi-is-given.html</v>
      </c>
      <c r="K259" s="5" t="str">
        <f t="shared" si="4"/>
        <v>https://www.columvi.com/starting-columvi/how-columvi-is-given.html?c=gft-1890321fc12</v>
      </c>
      <c r="L259" s="5" t="b">
        <v>1</v>
      </c>
      <c r="M259" s="5" t="s">
        <v>5</v>
      </c>
    </row>
    <row r="260" spans="1:13" ht="15.75" customHeight="1" x14ac:dyDescent="0.3">
      <c r="A260" s="5" t="s">
        <v>328</v>
      </c>
      <c r="B260" s="5" t="s">
        <v>333</v>
      </c>
      <c r="C260" s="5" t="s">
        <v>113</v>
      </c>
      <c r="D260" s="2" t="str">
        <f>IFERROR(VLOOKUP(C260,'ATP - Keywords'!$B:$B,1,FALSE),"#N/A")</f>
        <v>Unbranded DLBCL Dosing</v>
      </c>
      <c r="E260" s="5" t="s">
        <v>508</v>
      </c>
      <c r="F260" s="229" t="str">
        <f>IFERROR(VLOOKUP(E260,'ATP - Keywords'!$C:$C,1,FALSE),"#N/A")</f>
        <v>#N/A</v>
      </c>
      <c r="G260" s="5" t="s">
        <v>269</v>
      </c>
      <c r="H260" s="5" t="s">
        <v>341</v>
      </c>
      <c r="I260" s="5" t="s">
        <v>107</v>
      </c>
      <c r="J260" s="5" t="str">
        <f>IFERROR(VLOOKUP(I260,'ATP - Keywords'!$E:$E,1,FALSE),"#N/A")</f>
        <v>https://www.columvi.com/starting-columvi/how-columvi-is-given.html</v>
      </c>
      <c r="K260" s="5" t="str">
        <f t="shared" si="4"/>
        <v>https://www.columvi.com/starting-columvi/how-columvi-is-given.html?c=gft-1890321fc12</v>
      </c>
      <c r="L260" s="5" t="b">
        <v>1</v>
      </c>
      <c r="M260" s="5" t="s">
        <v>5</v>
      </c>
    </row>
    <row r="261" spans="1:13" ht="15.75" customHeight="1" x14ac:dyDescent="0.3">
      <c r="A261" s="5" t="s">
        <v>328</v>
      </c>
      <c r="B261" s="5" t="s">
        <v>333</v>
      </c>
      <c r="C261" s="5" t="s">
        <v>113</v>
      </c>
      <c r="D261" s="2" t="str">
        <f>IFERROR(VLOOKUP(C261,'ATP - Keywords'!$B:$B,1,FALSE),"#N/A")</f>
        <v>Unbranded DLBCL Dosing</v>
      </c>
      <c r="E261" s="5" t="s">
        <v>266</v>
      </c>
      <c r="F261" s="2" t="str">
        <f>IFERROR(VLOOKUP(E261,'ATP - Keywords'!$C:$C,1,FALSE),"#N/A")</f>
        <v>large b cell lymphoma infusion</v>
      </c>
      <c r="G261" s="5" t="s">
        <v>269</v>
      </c>
      <c r="H261" s="5" t="s">
        <v>341</v>
      </c>
      <c r="I261" s="5" t="s">
        <v>107</v>
      </c>
      <c r="J261" s="5" t="str">
        <f>IFERROR(VLOOKUP(I261,'ATP - Keywords'!$E:$E,1,FALSE),"#N/A")</f>
        <v>https://www.columvi.com/starting-columvi/how-columvi-is-given.html</v>
      </c>
      <c r="K261" s="5" t="str">
        <f t="shared" si="4"/>
        <v>https://www.columvi.com/starting-columvi/how-columvi-is-given.html?c=gft-1890321fc12</v>
      </c>
      <c r="L261" s="5" t="b">
        <v>1</v>
      </c>
      <c r="M261" s="5" t="s">
        <v>5</v>
      </c>
    </row>
    <row r="262" spans="1:13" ht="15.75" customHeight="1" x14ac:dyDescent="0.3">
      <c r="A262" s="5" t="s">
        <v>328</v>
      </c>
      <c r="B262" s="5" t="s">
        <v>333</v>
      </c>
      <c r="C262" s="5" t="s">
        <v>113</v>
      </c>
      <c r="D262" s="2" t="str">
        <f>IFERROR(VLOOKUP(C262,'ATP - Keywords'!$B:$B,1,FALSE),"#N/A")</f>
        <v>Unbranded DLBCL Dosing</v>
      </c>
      <c r="E262" s="5" t="s">
        <v>267</v>
      </c>
      <c r="F262" s="2" t="str">
        <f>IFERROR(VLOOKUP(E262,'ATP - Keywords'!$C:$C,1,FALSE),"#N/A")</f>
        <v>large b cell dosing information</v>
      </c>
      <c r="G262" s="5" t="s">
        <v>269</v>
      </c>
      <c r="H262" s="5" t="s">
        <v>341</v>
      </c>
      <c r="I262" s="5" t="s">
        <v>107</v>
      </c>
      <c r="J262" s="5" t="str">
        <f>IFERROR(VLOOKUP(I262,'ATP - Keywords'!$E:$E,1,FALSE),"#N/A")</f>
        <v>https://www.columvi.com/starting-columvi/how-columvi-is-given.html</v>
      </c>
      <c r="K262" s="5" t="str">
        <f t="shared" si="4"/>
        <v>https://www.columvi.com/starting-columvi/how-columvi-is-given.html?c=gft-1890321fc12</v>
      </c>
      <c r="L262" s="5" t="b">
        <v>1</v>
      </c>
      <c r="M262" s="5" t="s">
        <v>5</v>
      </c>
    </row>
    <row r="263" spans="1:13" ht="15.75" customHeight="1" x14ac:dyDescent="0.3">
      <c r="A263" s="5" t="s">
        <v>328</v>
      </c>
      <c r="B263" s="5" t="s">
        <v>333</v>
      </c>
      <c r="C263" s="5" t="s">
        <v>113</v>
      </c>
      <c r="D263" s="2" t="str">
        <f>IFERROR(VLOOKUP(C263,'ATP - Keywords'!$B:$B,1,FALSE),"#N/A")</f>
        <v>Unbranded DLBCL Dosing</v>
      </c>
      <c r="E263" s="5" t="s">
        <v>268</v>
      </c>
      <c r="F263" s="2" t="str">
        <f>IFERROR(VLOOKUP(E263,'ATP - Keywords'!$C:$C,1,FALSE),"#N/A")</f>
        <v>large b cell dosing and administration information</v>
      </c>
      <c r="G263" s="5" t="s">
        <v>269</v>
      </c>
      <c r="H263" s="5" t="s">
        <v>341</v>
      </c>
      <c r="I263" s="5" t="s">
        <v>107</v>
      </c>
      <c r="J263" s="5" t="str">
        <f>IFERROR(VLOOKUP(I263,'ATP - Keywords'!$E:$E,1,FALSE),"#N/A")</f>
        <v>https://www.columvi.com/starting-columvi/how-columvi-is-given.html</v>
      </c>
      <c r="K263" s="5" t="str">
        <f t="shared" si="4"/>
        <v>https://www.columvi.com/starting-columvi/how-columvi-is-given.html?c=gft-1890321fc12</v>
      </c>
      <c r="L263" s="5" t="b">
        <v>1</v>
      </c>
      <c r="M263" s="5" t="s">
        <v>5</v>
      </c>
    </row>
  </sheetData>
  <autoFilter ref="A1:AG1" xr:uid="{00000000-0001-0000-0700-000000000000}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20A6-0C93-474C-A9BC-246F7A915358}">
  <sheetPr codeName="Sheet7"/>
  <dimension ref="A1:E146"/>
  <sheetViews>
    <sheetView topLeftCell="A8" workbookViewId="0">
      <selection activeCell="B13" sqref="B13"/>
    </sheetView>
  </sheetViews>
  <sheetFormatPr defaultColWidth="13" defaultRowHeight="14.4" x14ac:dyDescent="0.3"/>
  <cols>
    <col min="1" max="1" width="27.44140625" style="12" customWidth="1"/>
    <col min="2" max="2" width="42.77734375" style="12" customWidth="1"/>
    <col min="3" max="3" width="72.77734375" style="12" customWidth="1"/>
    <col min="4" max="4" width="31.109375" style="12" customWidth="1"/>
    <col min="5" max="5" width="75.77734375" style="12" customWidth="1"/>
    <col min="6" max="6" width="29.21875" style="12" customWidth="1"/>
    <col min="7" max="16384" width="13" style="12"/>
  </cols>
  <sheetData>
    <row r="1" spans="1:5" ht="15" customHeight="1" x14ac:dyDescent="0.3">
      <c r="A1" s="118" t="s">
        <v>387</v>
      </c>
      <c r="B1" s="119"/>
      <c r="C1" s="119"/>
      <c r="D1" s="9"/>
      <c r="E1" s="10"/>
    </row>
    <row r="2" spans="1:5" ht="19.5" customHeight="1" x14ac:dyDescent="0.3">
      <c r="A2" s="22" t="s">
        <v>353</v>
      </c>
      <c r="B2" s="120"/>
      <c r="C2" s="120"/>
      <c r="D2" s="120"/>
      <c r="E2" s="121"/>
    </row>
    <row r="3" spans="1:5" ht="15.75" customHeight="1" x14ac:dyDescent="0.3">
      <c r="A3" s="123" t="s">
        <v>354</v>
      </c>
      <c r="B3" s="120"/>
      <c r="C3" s="120"/>
      <c r="D3" s="120"/>
      <c r="E3" s="121"/>
    </row>
    <row r="4" spans="1:5" ht="18.75" customHeight="1" x14ac:dyDescent="0.3">
      <c r="A4" s="124"/>
      <c r="B4" s="120"/>
      <c r="C4" s="120"/>
      <c r="D4" s="120"/>
      <c r="E4" s="121"/>
    </row>
    <row r="5" spans="1:5" ht="6.6" customHeight="1" x14ac:dyDescent="0.3">
      <c r="A5" s="125"/>
      <c r="B5" s="126"/>
      <c r="C5" s="120"/>
      <c r="D5" s="120"/>
      <c r="E5" s="121"/>
    </row>
    <row r="6" spans="1:5" ht="21.6" customHeight="1" x14ac:dyDescent="0.3">
      <c r="A6" s="123" t="s">
        <v>358</v>
      </c>
      <c r="B6" s="127"/>
      <c r="C6" s="127"/>
      <c r="D6" s="127"/>
      <c r="E6" s="128"/>
    </row>
    <row r="7" spans="1:5" ht="28.5" customHeight="1" x14ac:dyDescent="0.3">
      <c r="A7" s="38" t="s">
        <v>388</v>
      </c>
      <c r="B7" s="129"/>
      <c r="C7" s="129"/>
      <c r="D7" s="129"/>
      <c r="E7" s="130"/>
    </row>
    <row r="8" spans="1:5" ht="28.5" customHeight="1" x14ac:dyDescent="0.3">
      <c r="A8" s="131" t="s">
        <v>389</v>
      </c>
      <c r="B8" s="132"/>
      <c r="C8" s="132"/>
      <c r="D8" s="132"/>
      <c r="E8" s="133"/>
    </row>
    <row r="9" spans="1:5" ht="25.05" customHeight="1" x14ac:dyDescent="0.3">
      <c r="A9" s="131" t="s">
        <v>390</v>
      </c>
      <c r="B9" s="120"/>
      <c r="C9" s="120"/>
      <c r="D9" s="120"/>
      <c r="E9" s="121"/>
    </row>
    <row r="10" spans="1:5" ht="20.25" customHeight="1" x14ac:dyDescent="0.3">
      <c r="A10" s="134" t="s">
        <v>391</v>
      </c>
      <c r="B10" s="127"/>
      <c r="C10" s="127"/>
      <c r="D10" s="127"/>
      <c r="E10" s="128"/>
    </row>
    <row r="11" spans="1:5" ht="30" customHeight="1" x14ac:dyDescent="0.3">
      <c r="A11" s="135" t="s">
        <v>392</v>
      </c>
      <c r="B11" s="136"/>
      <c r="C11" s="136"/>
      <c r="D11" s="136"/>
      <c r="E11" s="137"/>
    </row>
    <row r="12" spans="1:5" ht="15.75" customHeight="1" x14ac:dyDescent="0.3">
      <c r="A12" s="138"/>
      <c r="B12" s="139"/>
      <c r="C12" s="139"/>
      <c r="D12" s="139"/>
      <c r="E12" s="140"/>
    </row>
    <row r="13" spans="1:5" ht="4.5" customHeight="1" thickBot="1" x14ac:dyDescent="0.35">
      <c r="A13" s="141"/>
      <c r="B13" s="142"/>
      <c r="C13" s="142"/>
      <c r="D13" s="142"/>
      <c r="E13" s="143"/>
    </row>
    <row r="14" spans="1:5" ht="25.05" customHeight="1" thickBot="1" x14ac:dyDescent="0.35">
      <c r="A14" s="144" t="s">
        <v>7</v>
      </c>
      <c r="B14" s="145" t="s">
        <v>8</v>
      </c>
      <c r="C14" s="145" t="s">
        <v>127</v>
      </c>
      <c r="D14" s="146" t="s">
        <v>377</v>
      </c>
      <c r="E14" s="147" t="s">
        <v>393</v>
      </c>
    </row>
    <row r="15" spans="1:5" ht="50.1" customHeight="1" x14ac:dyDescent="0.3">
      <c r="A15" s="237" t="s">
        <v>377</v>
      </c>
      <c r="B15" s="238"/>
      <c r="C15" s="148" t="s">
        <v>394</v>
      </c>
      <c r="D15" s="149" t="s">
        <v>395</v>
      </c>
      <c r="E15" s="150" t="s">
        <v>396</v>
      </c>
    </row>
    <row r="16" spans="1:5" ht="15" customHeight="1" x14ac:dyDescent="0.3">
      <c r="A16" s="97" t="s">
        <v>46</v>
      </c>
      <c r="B16" s="98" t="s">
        <v>46</v>
      </c>
      <c r="C16" s="98" t="s">
        <v>130</v>
      </c>
      <c r="D16" s="93">
        <f t="shared" ref="D16:D146" si="0">90-LEN(C16)</f>
        <v>63</v>
      </c>
      <c r="E16" s="151" t="s">
        <v>69</v>
      </c>
    </row>
    <row r="17" spans="1:5" ht="15" customHeight="1" x14ac:dyDescent="0.3">
      <c r="A17" s="97" t="s">
        <v>46</v>
      </c>
      <c r="B17" s="98" t="s">
        <v>46</v>
      </c>
      <c r="C17" s="98" t="s">
        <v>133</v>
      </c>
      <c r="D17" s="93">
        <f t="shared" si="0"/>
        <v>79</v>
      </c>
      <c r="E17" s="151" t="s">
        <v>69</v>
      </c>
    </row>
    <row r="18" spans="1:5" ht="15" customHeight="1" x14ac:dyDescent="0.3">
      <c r="A18" s="97" t="s">
        <v>46</v>
      </c>
      <c r="B18" s="98" t="s">
        <v>46</v>
      </c>
      <c r="C18" s="98" t="s">
        <v>134</v>
      </c>
      <c r="D18" s="93">
        <f t="shared" si="0"/>
        <v>78</v>
      </c>
      <c r="E18" s="151" t="s">
        <v>69</v>
      </c>
    </row>
    <row r="19" spans="1:5" ht="15" customHeight="1" x14ac:dyDescent="0.3">
      <c r="A19" s="97" t="s">
        <v>46</v>
      </c>
      <c r="B19" s="98" t="s">
        <v>46</v>
      </c>
      <c r="C19" s="98" t="s">
        <v>135</v>
      </c>
      <c r="D19" s="93">
        <f t="shared" si="0"/>
        <v>74</v>
      </c>
      <c r="E19" s="151" t="s">
        <v>69</v>
      </c>
    </row>
    <row r="20" spans="1:5" ht="15" customHeight="1" x14ac:dyDescent="0.3">
      <c r="A20" s="97" t="s">
        <v>46</v>
      </c>
      <c r="B20" s="98" t="s">
        <v>46</v>
      </c>
      <c r="C20" s="98" t="s">
        <v>136</v>
      </c>
      <c r="D20" s="93">
        <f t="shared" si="0"/>
        <v>69</v>
      </c>
      <c r="E20" s="151" t="s">
        <v>69</v>
      </c>
    </row>
    <row r="21" spans="1:5" ht="15" customHeight="1" x14ac:dyDescent="0.3">
      <c r="A21" s="97" t="s">
        <v>46</v>
      </c>
      <c r="B21" s="98" t="s">
        <v>46</v>
      </c>
      <c r="C21" s="98" t="s">
        <v>137</v>
      </c>
      <c r="D21" s="93">
        <f t="shared" si="0"/>
        <v>85</v>
      </c>
      <c r="E21" s="151" t="s">
        <v>69</v>
      </c>
    </row>
    <row r="22" spans="1:5" ht="15" customHeight="1" x14ac:dyDescent="0.3">
      <c r="A22" s="97" t="s">
        <v>46</v>
      </c>
      <c r="B22" s="98" t="s">
        <v>46</v>
      </c>
      <c r="C22" s="98" t="s">
        <v>138</v>
      </c>
      <c r="D22" s="93">
        <f t="shared" si="0"/>
        <v>78</v>
      </c>
      <c r="E22" s="151" t="s">
        <v>69</v>
      </c>
    </row>
    <row r="23" spans="1:5" ht="15" customHeight="1" x14ac:dyDescent="0.3">
      <c r="A23" s="97" t="s">
        <v>46</v>
      </c>
      <c r="B23" s="98" t="s">
        <v>46</v>
      </c>
      <c r="C23" s="98" t="s">
        <v>139</v>
      </c>
      <c r="D23" s="93">
        <f t="shared" si="0"/>
        <v>76</v>
      </c>
      <c r="E23" s="151" t="s">
        <v>69</v>
      </c>
    </row>
    <row r="24" spans="1:5" ht="15" customHeight="1" x14ac:dyDescent="0.3">
      <c r="A24" s="97" t="s">
        <v>46</v>
      </c>
      <c r="B24" s="98" t="s">
        <v>46</v>
      </c>
      <c r="C24" s="98" t="s">
        <v>140</v>
      </c>
      <c r="D24" s="93">
        <f t="shared" si="0"/>
        <v>80</v>
      </c>
      <c r="E24" s="151" t="s">
        <v>69</v>
      </c>
    </row>
    <row r="25" spans="1:5" ht="15" customHeight="1" x14ac:dyDescent="0.3">
      <c r="A25" s="97" t="s">
        <v>46</v>
      </c>
      <c r="B25" s="98" t="s">
        <v>46</v>
      </c>
      <c r="C25" s="98" t="s">
        <v>141</v>
      </c>
      <c r="D25" s="93">
        <f t="shared" si="0"/>
        <v>75</v>
      </c>
      <c r="E25" s="151" t="s">
        <v>69</v>
      </c>
    </row>
    <row r="26" spans="1:5" ht="15" customHeight="1" x14ac:dyDescent="0.3">
      <c r="A26" s="97" t="s">
        <v>46</v>
      </c>
      <c r="B26" s="98" t="s">
        <v>46</v>
      </c>
      <c r="C26" s="98" t="s">
        <v>142</v>
      </c>
      <c r="D26" s="93">
        <f t="shared" si="0"/>
        <v>61</v>
      </c>
      <c r="E26" s="151" t="s">
        <v>69</v>
      </c>
    </row>
    <row r="27" spans="1:5" ht="15" customHeight="1" x14ac:dyDescent="0.3">
      <c r="A27" s="97" t="s">
        <v>46</v>
      </c>
      <c r="B27" s="98" t="s">
        <v>46</v>
      </c>
      <c r="C27" s="98" t="s">
        <v>143</v>
      </c>
      <c r="D27" s="93">
        <f t="shared" si="0"/>
        <v>77</v>
      </c>
      <c r="E27" s="151" t="s">
        <v>69</v>
      </c>
    </row>
    <row r="28" spans="1:5" ht="15" customHeight="1" x14ac:dyDescent="0.3">
      <c r="A28" s="97" t="s">
        <v>46</v>
      </c>
      <c r="B28" s="98" t="s">
        <v>46</v>
      </c>
      <c r="C28" s="98" t="s">
        <v>144</v>
      </c>
      <c r="D28" s="93">
        <f t="shared" si="0"/>
        <v>70</v>
      </c>
      <c r="E28" s="151" t="s">
        <v>69</v>
      </c>
    </row>
    <row r="29" spans="1:5" ht="15" customHeight="1" x14ac:dyDescent="0.3">
      <c r="A29" s="97" t="s">
        <v>46</v>
      </c>
      <c r="B29" s="98" t="s">
        <v>46</v>
      </c>
      <c r="C29" s="98" t="s">
        <v>145</v>
      </c>
      <c r="D29" s="93">
        <f t="shared" si="0"/>
        <v>65</v>
      </c>
      <c r="E29" s="151" t="s">
        <v>69</v>
      </c>
    </row>
    <row r="30" spans="1:5" ht="15" customHeight="1" x14ac:dyDescent="0.3">
      <c r="A30" s="97" t="s">
        <v>46</v>
      </c>
      <c r="B30" s="98" t="s">
        <v>46</v>
      </c>
      <c r="C30" s="98" t="s">
        <v>146</v>
      </c>
      <c r="D30" s="93">
        <f t="shared" si="0"/>
        <v>61</v>
      </c>
      <c r="E30" s="151" t="s">
        <v>69</v>
      </c>
    </row>
    <row r="31" spans="1:5" ht="15" customHeight="1" x14ac:dyDescent="0.3">
      <c r="A31" s="97" t="s">
        <v>46</v>
      </c>
      <c r="B31" s="98" t="s">
        <v>46</v>
      </c>
      <c r="C31" s="98" t="s">
        <v>147</v>
      </c>
      <c r="D31" s="93">
        <f t="shared" si="0"/>
        <v>72</v>
      </c>
      <c r="E31" s="151" t="s">
        <v>69</v>
      </c>
    </row>
    <row r="32" spans="1:5" ht="15" customHeight="1" x14ac:dyDescent="0.3">
      <c r="A32" s="97" t="s">
        <v>46</v>
      </c>
      <c r="B32" s="98" t="s">
        <v>46</v>
      </c>
      <c r="C32" s="98" t="s">
        <v>148</v>
      </c>
      <c r="D32" s="93">
        <f t="shared" si="0"/>
        <v>62</v>
      </c>
      <c r="E32" s="151" t="s">
        <v>69</v>
      </c>
    </row>
    <row r="33" spans="1:5" ht="15" customHeight="1" x14ac:dyDescent="0.3">
      <c r="A33" s="97" t="s">
        <v>46</v>
      </c>
      <c r="B33" s="98" t="s">
        <v>46</v>
      </c>
      <c r="C33" s="98" t="s">
        <v>149</v>
      </c>
      <c r="D33" s="93">
        <f t="shared" si="0"/>
        <v>81</v>
      </c>
      <c r="E33" s="151" t="s">
        <v>69</v>
      </c>
    </row>
    <row r="34" spans="1:5" ht="15" customHeight="1" x14ac:dyDescent="0.3">
      <c r="A34" s="97" t="s">
        <v>46</v>
      </c>
      <c r="B34" s="98" t="s">
        <v>46</v>
      </c>
      <c r="C34" s="98" t="s">
        <v>150</v>
      </c>
      <c r="D34" s="93">
        <f t="shared" si="0"/>
        <v>62</v>
      </c>
      <c r="E34" s="151" t="s">
        <v>69</v>
      </c>
    </row>
    <row r="35" spans="1:5" ht="15" customHeight="1" x14ac:dyDescent="0.3">
      <c r="A35" s="97" t="s">
        <v>46</v>
      </c>
      <c r="B35" s="98" t="s">
        <v>46</v>
      </c>
      <c r="C35" s="98" t="s">
        <v>151</v>
      </c>
      <c r="D35" s="93">
        <f t="shared" si="0"/>
        <v>38</v>
      </c>
      <c r="E35" s="151" t="s">
        <v>69</v>
      </c>
    </row>
    <row r="36" spans="1:5" ht="15" customHeight="1" x14ac:dyDescent="0.3">
      <c r="A36" s="97" t="s">
        <v>46</v>
      </c>
      <c r="B36" s="98" t="s">
        <v>46</v>
      </c>
      <c r="C36" s="98" t="s">
        <v>152</v>
      </c>
      <c r="D36" s="93">
        <f t="shared" si="0"/>
        <v>86</v>
      </c>
      <c r="E36" s="151" t="s">
        <v>69</v>
      </c>
    </row>
    <row r="37" spans="1:5" ht="15" customHeight="1" x14ac:dyDescent="0.3">
      <c r="A37" s="97" t="s">
        <v>46</v>
      </c>
      <c r="B37" s="98" t="s">
        <v>46</v>
      </c>
      <c r="C37" s="98" t="s">
        <v>153</v>
      </c>
      <c r="D37" s="93">
        <f t="shared" si="0"/>
        <v>30</v>
      </c>
      <c r="E37" s="151" t="s">
        <v>69</v>
      </c>
    </row>
    <row r="38" spans="1:5" ht="15" customHeight="1" x14ac:dyDescent="0.3">
      <c r="A38" s="97" t="s">
        <v>46</v>
      </c>
      <c r="B38" s="98" t="s">
        <v>46</v>
      </c>
      <c r="C38" s="98" t="s">
        <v>154</v>
      </c>
      <c r="D38" s="93">
        <f t="shared" si="0"/>
        <v>54</v>
      </c>
      <c r="E38" s="151" t="s">
        <v>69</v>
      </c>
    </row>
    <row r="39" spans="1:5" ht="15" customHeight="1" x14ac:dyDescent="0.3">
      <c r="A39" s="97" t="s">
        <v>46</v>
      </c>
      <c r="B39" s="98" t="s">
        <v>46</v>
      </c>
      <c r="C39" s="98" t="s">
        <v>155</v>
      </c>
      <c r="D39" s="93">
        <f t="shared" si="0"/>
        <v>49</v>
      </c>
      <c r="E39" s="151" t="s">
        <v>69</v>
      </c>
    </row>
    <row r="40" spans="1:5" ht="15" customHeight="1" x14ac:dyDescent="0.3">
      <c r="A40" s="97" t="s">
        <v>46</v>
      </c>
      <c r="B40" s="98" t="s">
        <v>46</v>
      </c>
      <c r="C40" s="98" t="s">
        <v>156</v>
      </c>
      <c r="D40" s="93">
        <f t="shared" si="0"/>
        <v>40</v>
      </c>
      <c r="E40" s="151" t="s">
        <v>69</v>
      </c>
    </row>
    <row r="41" spans="1:5" ht="15" customHeight="1" x14ac:dyDescent="0.3">
      <c r="A41" s="97" t="s">
        <v>46</v>
      </c>
      <c r="B41" s="98" t="s">
        <v>46</v>
      </c>
      <c r="C41" s="98" t="s">
        <v>157</v>
      </c>
      <c r="D41" s="93">
        <f t="shared" si="0"/>
        <v>43</v>
      </c>
      <c r="E41" s="151" t="s">
        <v>69</v>
      </c>
    </row>
    <row r="42" spans="1:5" ht="15" customHeight="1" x14ac:dyDescent="0.3">
      <c r="A42" s="109" t="s">
        <v>46</v>
      </c>
      <c r="B42" s="98" t="s">
        <v>46</v>
      </c>
      <c r="C42" s="105" t="s">
        <v>158</v>
      </c>
      <c r="D42" s="93">
        <f t="shared" si="0"/>
        <v>53</v>
      </c>
      <c r="E42" s="151" t="s">
        <v>69</v>
      </c>
    </row>
    <row r="43" spans="1:5" ht="15" customHeight="1" x14ac:dyDescent="0.3">
      <c r="A43" s="97" t="s">
        <v>46</v>
      </c>
      <c r="B43" s="98" t="s">
        <v>46</v>
      </c>
      <c r="C43" s="98" t="s">
        <v>159</v>
      </c>
      <c r="D43" s="93">
        <f t="shared" si="0"/>
        <v>36</v>
      </c>
      <c r="E43" s="151" t="s">
        <v>69</v>
      </c>
    </row>
    <row r="44" spans="1:5" ht="15" customHeight="1" x14ac:dyDescent="0.3">
      <c r="A44" s="97" t="s">
        <v>46</v>
      </c>
      <c r="B44" s="98" t="s">
        <v>46</v>
      </c>
      <c r="C44" s="98" t="s">
        <v>160</v>
      </c>
      <c r="D44" s="93">
        <f t="shared" si="0"/>
        <v>45</v>
      </c>
      <c r="E44" s="151" t="s">
        <v>69</v>
      </c>
    </row>
    <row r="45" spans="1:5" ht="15" customHeight="1" x14ac:dyDescent="0.3">
      <c r="A45" s="97" t="s">
        <v>46</v>
      </c>
      <c r="B45" s="98" t="s">
        <v>46</v>
      </c>
      <c r="C45" s="98" t="s">
        <v>161</v>
      </c>
      <c r="D45" s="93">
        <f t="shared" si="0"/>
        <v>56</v>
      </c>
      <c r="E45" s="151" t="s">
        <v>69</v>
      </c>
    </row>
    <row r="46" spans="1:5" ht="15" customHeight="1" x14ac:dyDescent="0.3">
      <c r="A46" s="97" t="s">
        <v>46</v>
      </c>
      <c r="B46" s="98" t="s">
        <v>46</v>
      </c>
      <c r="C46" s="98" t="s">
        <v>162</v>
      </c>
      <c r="D46" s="93">
        <f t="shared" si="0"/>
        <v>80</v>
      </c>
      <c r="E46" s="151" t="s">
        <v>69</v>
      </c>
    </row>
    <row r="47" spans="1:5" ht="15" customHeight="1" x14ac:dyDescent="0.3">
      <c r="A47" s="97" t="s">
        <v>46</v>
      </c>
      <c r="B47" s="98" t="s">
        <v>46</v>
      </c>
      <c r="C47" s="98" t="s">
        <v>163</v>
      </c>
      <c r="D47" s="93">
        <f t="shared" si="0"/>
        <v>55</v>
      </c>
      <c r="E47" s="151" t="s">
        <v>69</v>
      </c>
    </row>
    <row r="48" spans="1:5" ht="15" customHeight="1" x14ac:dyDescent="0.3">
      <c r="A48" s="97" t="s">
        <v>46</v>
      </c>
      <c r="B48" s="98" t="s">
        <v>46</v>
      </c>
      <c r="C48" s="98" t="s">
        <v>164</v>
      </c>
      <c r="D48" s="93">
        <f t="shared" si="0"/>
        <v>62</v>
      </c>
      <c r="E48" s="151" t="s">
        <v>69</v>
      </c>
    </row>
    <row r="49" spans="1:5" ht="15" customHeight="1" x14ac:dyDescent="0.3">
      <c r="A49" s="97" t="s">
        <v>46</v>
      </c>
      <c r="B49" s="98" t="s">
        <v>46</v>
      </c>
      <c r="C49" s="98" t="s">
        <v>165</v>
      </c>
      <c r="D49" s="93">
        <f t="shared" si="0"/>
        <v>72</v>
      </c>
      <c r="E49" s="151" t="s">
        <v>69</v>
      </c>
    </row>
    <row r="50" spans="1:5" ht="15" customHeight="1" x14ac:dyDescent="0.3">
      <c r="A50" s="97" t="s">
        <v>46</v>
      </c>
      <c r="B50" s="98" t="s">
        <v>46</v>
      </c>
      <c r="C50" s="98" t="s">
        <v>166</v>
      </c>
      <c r="D50" s="93">
        <f t="shared" si="0"/>
        <v>65</v>
      </c>
      <c r="E50" s="151" t="s">
        <v>69</v>
      </c>
    </row>
    <row r="51" spans="1:5" ht="15" customHeight="1" x14ac:dyDescent="0.3">
      <c r="A51" s="97" t="s">
        <v>46</v>
      </c>
      <c r="B51" s="98" t="s">
        <v>46</v>
      </c>
      <c r="C51" s="98" t="s">
        <v>167</v>
      </c>
      <c r="D51" s="93">
        <f t="shared" si="0"/>
        <v>81</v>
      </c>
      <c r="E51" s="151" t="s">
        <v>69</v>
      </c>
    </row>
    <row r="52" spans="1:5" ht="15" customHeight="1" x14ac:dyDescent="0.3">
      <c r="A52" s="97" t="s">
        <v>46</v>
      </c>
      <c r="B52" s="98" t="s">
        <v>46</v>
      </c>
      <c r="C52" s="98" t="s">
        <v>168</v>
      </c>
      <c r="D52" s="93">
        <f t="shared" si="0"/>
        <v>78</v>
      </c>
      <c r="E52" s="151" t="s">
        <v>69</v>
      </c>
    </row>
    <row r="53" spans="1:5" ht="15" customHeight="1" x14ac:dyDescent="0.3">
      <c r="A53" s="97" t="s">
        <v>46</v>
      </c>
      <c r="B53" s="98" t="s">
        <v>46</v>
      </c>
      <c r="C53" s="98" t="s">
        <v>169</v>
      </c>
      <c r="D53" s="93">
        <f t="shared" si="0"/>
        <v>69</v>
      </c>
      <c r="E53" s="151" t="s">
        <v>69</v>
      </c>
    </row>
    <row r="54" spans="1:5" ht="15" customHeight="1" x14ac:dyDescent="0.3">
      <c r="A54" s="97" t="s">
        <v>46</v>
      </c>
      <c r="B54" s="98" t="s">
        <v>46</v>
      </c>
      <c r="C54" s="98" t="s">
        <v>170</v>
      </c>
      <c r="D54" s="93">
        <f t="shared" si="0"/>
        <v>62</v>
      </c>
      <c r="E54" s="151" t="s">
        <v>69</v>
      </c>
    </row>
    <row r="55" spans="1:5" ht="15" customHeight="1" x14ac:dyDescent="0.3">
      <c r="A55" s="97" t="s">
        <v>46</v>
      </c>
      <c r="B55" s="98" t="s">
        <v>46</v>
      </c>
      <c r="C55" s="98" t="s">
        <v>171</v>
      </c>
      <c r="D55" s="93">
        <f t="shared" si="0"/>
        <v>70</v>
      </c>
      <c r="E55" s="151" t="s">
        <v>69</v>
      </c>
    </row>
    <row r="56" spans="1:5" ht="15" customHeight="1" x14ac:dyDescent="0.3">
      <c r="A56" s="97" t="s">
        <v>46</v>
      </c>
      <c r="B56" s="98" t="s">
        <v>71</v>
      </c>
      <c r="C56" s="98" t="s">
        <v>172</v>
      </c>
      <c r="D56" s="93">
        <f t="shared" si="0"/>
        <v>78</v>
      </c>
      <c r="E56" s="151" t="s">
        <v>69</v>
      </c>
    </row>
    <row r="57" spans="1:5" ht="15" customHeight="1" x14ac:dyDescent="0.3">
      <c r="A57" s="97" t="s">
        <v>46</v>
      </c>
      <c r="B57" s="98" t="s">
        <v>71</v>
      </c>
      <c r="C57" s="98" t="s">
        <v>173</v>
      </c>
      <c r="D57" s="93">
        <f t="shared" si="0"/>
        <v>62</v>
      </c>
      <c r="E57" s="151" t="s">
        <v>69</v>
      </c>
    </row>
    <row r="58" spans="1:5" ht="15" customHeight="1" x14ac:dyDescent="0.3">
      <c r="A58" s="97" t="s">
        <v>46</v>
      </c>
      <c r="B58" s="98" t="s">
        <v>71</v>
      </c>
      <c r="C58" s="98" t="s">
        <v>174</v>
      </c>
      <c r="D58" s="93">
        <f t="shared" si="0"/>
        <v>73</v>
      </c>
      <c r="E58" s="151" t="s">
        <v>69</v>
      </c>
    </row>
    <row r="59" spans="1:5" ht="15" customHeight="1" x14ac:dyDescent="0.3">
      <c r="A59" s="97" t="s">
        <v>46</v>
      </c>
      <c r="B59" s="98" t="s">
        <v>71</v>
      </c>
      <c r="C59" s="98" t="s">
        <v>175</v>
      </c>
      <c r="D59" s="93">
        <f t="shared" si="0"/>
        <v>57</v>
      </c>
      <c r="E59" s="151" t="s">
        <v>69</v>
      </c>
    </row>
    <row r="60" spans="1:5" ht="15" customHeight="1" x14ac:dyDescent="0.3">
      <c r="A60" s="97" t="s">
        <v>46</v>
      </c>
      <c r="B60" s="98" t="s">
        <v>71</v>
      </c>
      <c r="C60" s="98" t="s">
        <v>176</v>
      </c>
      <c r="D60" s="93">
        <f t="shared" si="0"/>
        <v>70</v>
      </c>
      <c r="E60" s="151" t="s">
        <v>69</v>
      </c>
    </row>
    <row r="61" spans="1:5" ht="15" customHeight="1" x14ac:dyDescent="0.3">
      <c r="A61" s="97" t="s">
        <v>46</v>
      </c>
      <c r="B61" s="98" t="s">
        <v>71</v>
      </c>
      <c r="C61" s="98" t="s">
        <v>177</v>
      </c>
      <c r="D61" s="93">
        <f t="shared" si="0"/>
        <v>54</v>
      </c>
      <c r="E61" s="151" t="s">
        <v>69</v>
      </c>
    </row>
    <row r="62" spans="1:5" ht="15" customHeight="1" x14ac:dyDescent="0.3">
      <c r="A62" s="97" t="s">
        <v>46</v>
      </c>
      <c r="B62" s="98" t="s">
        <v>71</v>
      </c>
      <c r="C62" s="98" t="s">
        <v>178</v>
      </c>
      <c r="D62" s="93">
        <f t="shared" si="0"/>
        <v>60</v>
      </c>
      <c r="E62" s="151" t="s">
        <v>69</v>
      </c>
    </row>
    <row r="63" spans="1:5" ht="15" customHeight="1" x14ac:dyDescent="0.3">
      <c r="A63" s="97" t="s">
        <v>46</v>
      </c>
      <c r="B63" s="98" t="s">
        <v>71</v>
      </c>
      <c r="C63" s="98" t="s">
        <v>179</v>
      </c>
      <c r="D63" s="93">
        <f t="shared" si="0"/>
        <v>40</v>
      </c>
      <c r="E63" s="151" t="s">
        <v>69</v>
      </c>
    </row>
    <row r="64" spans="1:5" ht="15" customHeight="1" x14ac:dyDescent="0.3">
      <c r="A64" s="97" t="s">
        <v>46</v>
      </c>
      <c r="B64" s="98" t="s">
        <v>71</v>
      </c>
      <c r="C64" s="98" t="s">
        <v>180</v>
      </c>
      <c r="D64" s="93">
        <f t="shared" si="0"/>
        <v>68</v>
      </c>
      <c r="E64" s="151" t="s">
        <v>69</v>
      </c>
    </row>
    <row r="65" spans="1:5" ht="15" customHeight="1" x14ac:dyDescent="0.3">
      <c r="A65" s="97" t="s">
        <v>46</v>
      </c>
      <c r="B65" s="98" t="s">
        <v>71</v>
      </c>
      <c r="C65" s="98" t="s">
        <v>181</v>
      </c>
      <c r="D65" s="93">
        <f t="shared" si="0"/>
        <v>70</v>
      </c>
      <c r="E65" s="151" t="s">
        <v>69</v>
      </c>
    </row>
    <row r="66" spans="1:5" ht="15" customHeight="1" x14ac:dyDescent="0.3">
      <c r="A66" s="97" t="s">
        <v>46</v>
      </c>
      <c r="B66" s="98" t="s">
        <v>71</v>
      </c>
      <c r="C66" s="98" t="s">
        <v>182</v>
      </c>
      <c r="D66" s="93">
        <f t="shared" si="0"/>
        <v>50</v>
      </c>
      <c r="E66" s="151" t="s">
        <v>69</v>
      </c>
    </row>
    <row r="67" spans="1:5" ht="15" customHeight="1" x14ac:dyDescent="0.3">
      <c r="A67" s="97" t="s">
        <v>46</v>
      </c>
      <c r="B67" s="98" t="s">
        <v>71</v>
      </c>
      <c r="C67" s="98" t="s">
        <v>183</v>
      </c>
      <c r="D67" s="93">
        <f t="shared" si="0"/>
        <v>71</v>
      </c>
      <c r="E67" s="151" t="s">
        <v>69</v>
      </c>
    </row>
    <row r="68" spans="1:5" ht="15" customHeight="1" x14ac:dyDescent="0.3">
      <c r="A68" s="97" t="s">
        <v>46</v>
      </c>
      <c r="B68" s="98" t="s">
        <v>76</v>
      </c>
      <c r="C68" s="98" t="s">
        <v>184</v>
      </c>
      <c r="D68" s="93">
        <f t="shared" si="0"/>
        <v>59</v>
      </c>
      <c r="E68" s="151" t="s">
        <v>69</v>
      </c>
    </row>
    <row r="69" spans="1:5" ht="15" customHeight="1" x14ac:dyDescent="0.3">
      <c r="A69" s="97" t="s">
        <v>46</v>
      </c>
      <c r="B69" s="98" t="s">
        <v>76</v>
      </c>
      <c r="C69" s="98" t="s">
        <v>185</v>
      </c>
      <c r="D69" s="93">
        <f t="shared" si="0"/>
        <v>75</v>
      </c>
      <c r="E69" s="151" t="s">
        <v>69</v>
      </c>
    </row>
    <row r="70" spans="1:5" ht="15" customHeight="1" x14ac:dyDescent="0.3">
      <c r="A70" s="97" t="s">
        <v>46</v>
      </c>
      <c r="B70" s="98" t="s">
        <v>76</v>
      </c>
      <c r="C70" s="98" t="s">
        <v>186</v>
      </c>
      <c r="D70" s="93">
        <f t="shared" si="0"/>
        <v>54</v>
      </c>
      <c r="E70" s="151" t="s">
        <v>69</v>
      </c>
    </row>
    <row r="71" spans="1:5" ht="15" customHeight="1" x14ac:dyDescent="0.3">
      <c r="A71" s="97" t="s">
        <v>46</v>
      </c>
      <c r="B71" s="98" t="s">
        <v>76</v>
      </c>
      <c r="C71" s="98" t="s">
        <v>187</v>
      </c>
      <c r="D71" s="93">
        <f t="shared" si="0"/>
        <v>70</v>
      </c>
      <c r="E71" s="151" t="s">
        <v>69</v>
      </c>
    </row>
    <row r="72" spans="1:5" ht="15" customHeight="1" x14ac:dyDescent="0.3">
      <c r="A72" s="97" t="s">
        <v>46</v>
      </c>
      <c r="B72" s="98" t="s">
        <v>76</v>
      </c>
      <c r="C72" s="98" t="s">
        <v>188</v>
      </c>
      <c r="D72" s="93">
        <f t="shared" si="0"/>
        <v>70</v>
      </c>
      <c r="E72" s="151" t="s">
        <v>69</v>
      </c>
    </row>
    <row r="73" spans="1:5" ht="15" customHeight="1" x14ac:dyDescent="0.3">
      <c r="A73" s="97" t="s">
        <v>46</v>
      </c>
      <c r="B73" s="98" t="s">
        <v>78</v>
      </c>
      <c r="C73" s="98" t="s">
        <v>189</v>
      </c>
      <c r="D73" s="93">
        <f t="shared" si="0"/>
        <v>73</v>
      </c>
      <c r="E73" s="151" t="s">
        <v>81</v>
      </c>
    </row>
    <row r="74" spans="1:5" ht="15" customHeight="1" x14ac:dyDescent="0.3">
      <c r="A74" s="97" t="s">
        <v>46</v>
      </c>
      <c r="B74" s="98" t="s">
        <v>78</v>
      </c>
      <c r="C74" s="98" t="s">
        <v>191</v>
      </c>
      <c r="D74" s="93">
        <f t="shared" si="0"/>
        <v>65</v>
      </c>
      <c r="E74" s="151" t="s">
        <v>81</v>
      </c>
    </row>
    <row r="75" spans="1:5" ht="15" customHeight="1" x14ac:dyDescent="0.3">
      <c r="A75" s="97" t="s">
        <v>46</v>
      </c>
      <c r="B75" s="98" t="s">
        <v>78</v>
      </c>
      <c r="C75" s="98" t="s">
        <v>192</v>
      </c>
      <c r="D75" s="93">
        <f t="shared" si="0"/>
        <v>57</v>
      </c>
      <c r="E75" s="151" t="s">
        <v>81</v>
      </c>
    </row>
    <row r="76" spans="1:5" ht="15" customHeight="1" x14ac:dyDescent="0.3">
      <c r="A76" s="97" t="s">
        <v>46</v>
      </c>
      <c r="B76" s="98" t="s">
        <v>78</v>
      </c>
      <c r="C76" s="98" t="s">
        <v>193</v>
      </c>
      <c r="D76" s="93">
        <f t="shared" si="0"/>
        <v>49</v>
      </c>
      <c r="E76" s="151" t="s">
        <v>81</v>
      </c>
    </row>
    <row r="77" spans="1:5" ht="15" customHeight="1" x14ac:dyDescent="0.3">
      <c r="A77" s="97" t="s">
        <v>46</v>
      </c>
      <c r="B77" s="98" t="s">
        <v>78</v>
      </c>
      <c r="C77" s="98" t="s">
        <v>194</v>
      </c>
      <c r="D77" s="93">
        <f t="shared" si="0"/>
        <v>65</v>
      </c>
      <c r="E77" s="151" t="s">
        <v>81</v>
      </c>
    </row>
    <row r="78" spans="1:5" ht="15" customHeight="1" x14ac:dyDescent="0.3">
      <c r="A78" s="97" t="s">
        <v>46</v>
      </c>
      <c r="B78" s="98" t="s">
        <v>78</v>
      </c>
      <c r="C78" s="98" t="s">
        <v>195</v>
      </c>
      <c r="D78" s="93">
        <f t="shared" si="0"/>
        <v>75</v>
      </c>
      <c r="E78" s="151" t="s">
        <v>81</v>
      </c>
    </row>
    <row r="79" spans="1:5" ht="15" customHeight="1" x14ac:dyDescent="0.3">
      <c r="A79" s="97" t="s">
        <v>46</v>
      </c>
      <c r="B79" s="98" t="s">
        <v>78</v>
      </c>
      <c r="C79" s="98" t="s">
        <v>196</v>
      </c>
      <c r="D79" s="93">
        <f t="shared" si="0"/>
        <v>62</v>
      </c>
      <c r="E79" s="151" t="s">
        <v>81</v>
      </c>
    </row>
    <row r="80" spans="1:5" ht="15" customHeight="1" x14ac:dyDescent="0.3">
      <c r="A80" s="97" t="s">
        <v>46</v>
      </c>
      <c r="B80" s="98" t="s">
        <v>78</v>
      </c>
      <c r="C80" s="98" t="s">
        <v>197</v>
      </c>
      <c r="D80" s="93">
        <f t="shared" si="0"/>
        <v>43</v>
      </c>
      <c r="E80" s="151" t="s">
        <v>81</v>
      </c>
    </row>
    <row r="81" spans="1:5" ht="15" customHeight="1" x14ac:dyDescent="0.3">
      <c r="A81" s="97" t="s">
        <v>46</v>
      </c>
      <c r="B81" s="98" t="s">
        <v>78</v>
      </c>
      <c r="C81" s="98" t="s">
        <v>198</v>
      </c>
      <c r="D81" s="93">
        <f t="shared" si="0"/>
        <v>65</v>
      </c>
      <c r="E81" s="151" t="s">
        <v>81</v>
      </c>
    </row>
    <row r="82" spans="1:5" ht="15" customHeight="1" x14ac:dyDescent="0.3">
      <c r="A82" s="97" t="s">
        <v>46</v>
      </c>
      <c r="B82" s="98" t="s">
        <v>78</v>
      </c>
      <c r="C82" s="98" t="s">
        <v>199</v>
      </c>
      <c r="D82" s="93">
        <f t="shared" si="0"/>
        <v>60</v>
      </c>
      <c r="E82" s="151" t="s">
        <v>81</v>
      </c>
    </row>
    <row r="83" spans="1:5" ht="15" customHeight="1" x14ac:dyDescent="0.3">
      <c r="A83" s="97" t="s">
        <v>46</v>
      </c>
      <c r="B83" s="98" t="s">
        <v>78</v>
      </c>
      <c r="C83" s="98" t="s">
        <v>200</v>
      </c>
      <c r="D83" s="93">
        <f t="shared" si="0"/>
        <v>77</v>
      </c>
      <c r="E83" s="151" t="s">
        <v>81</v>
      </c>
    </row>
    <row r="84" spans="1:5" ht="15" customHeight="1" x14ac:dyDescent="0.3">
      <c r="A84" s="97" t="s">
        <v>46</v>
      </c>
      <c r="B84" s="98" t="s">
        <v>78</v>
      </c>
      <c r="C84" s="98" t="s">
        <v>201</v>
      </c>
      <c r="D84" s="93">
        <f t="shared" si="0"/>
        <v>69</v>
      </c>
      <c r="E84" s="151" t="s">
        <v>81</v>
      </c>
    </row>
    <row r="85" spans="1:5" ht="15" customHeight="1" x14ac:dyDescent="0.3">
      <c r="A85" s="97" t="s">
        <v>46</v>
      </c>
      <c r="B85" s="98" t="s">
        <v>78</v>
      </c>
      <c r="C85" s="98" t="s">
        <v>202</v>
      </c>
      <c r="D85" s="93">
        <f t="shared" si="0"/>
        <v>58</v>
      </c>
      <c r="E85" s="151" t="s">
        <v>81</v>
      </c>
    </row>
    <row r="86" spans="1:5" ht="15" customHeight="1" x14ac:dyDescent="0.3">
      <c r="A86" s="97" t="s">
        <v>46</v>
      </c>
      <c r="B86" s="98" t="s">
        <v>78</v>
      </c>
      <c r="C86" s="98" t="s">
        <v>203</v>
      </c>
      <c r="D86" s="93">
        <f t="shared" si="0"/>
        <v>76</v>
      </c>
      <c r="E86" s="151" t="s">
        <v>81</v>
      </c>
    </row>
    <row r="87" spans="1:5" ht="15" customHeight="1" x14ac:dyDescent="0.3">
      <c r="A87" s="97" t="s">
        <v>46</v>
      </c>
      <c r="B87" s="98" t="s">
        <v>78</v>
      </c>
      <c r="C87" s="98" t="s">
        <v>204</v>
      </c>
      <c r="D87" s="93">
        <f t="shared" si="0"/>
        <v>68</v>
      </c>
      <c r="E87" s="151" t="s">
        <v>81</v>
      </c>
    </row>
    <row r="88" spans="1:5" ht="15" customHeight="1" x14ac:dyDescent="0.3">
      <c r="A88" s="97" t="s">
        <v>46</v>
      </c>
      <c r="B88" s="98" t="s">
        <v>83</v>
      </c>
      <c r="C88" s="98" t="s">
        <v>205</v>
      </c>
      <c r="D88" s="93">
        <f t="shared" si="0"/>
        <v>67</v>
      </c>
      <c r="E88" s="151" t="s">
        <v>88</v>
      </c>
    </row>
    <row r="89" spans="1:5" ht="15" customHeight="1" x14ac:dyDescent="0.3">
      <c r="A89" s="97" t="s">
        <v>46</v>
      </c>
      <c r="B89" s="98" t="s">
        <v>83</v>
      </c>
      <c r="C89" s="98" t="s">
        <v>207</v>
      </c>
      <c r="D89" s="93">
        <f t="shared" si="0"/>
        <v>64</v>
      </c>
      <c r="E89" s="151" t="s">
        <v>88</v>
      </c>
    </row>
    <row r="90" spans="1:5" ht="15" customHeight="1" x14ac:dyDescent="0.3">
      <c r="A90" s="97" t="s">
        <v>46</v>
      </c>
      <c r="B90" s="98" t="s">
        <v>83</v>
      </c>
      <c r="C90" s="98" t="s">
        <v>208</v>
      </c>
      <c r="D90" s="93">
        <f t="shared" si="0"/>
        <v>47</v>
      </c>
      <c r="E90" s="151" t="s">
        <v>88</v>
      </c>
    </row>
    <row r="91" spans="1:5" ht="15" customHeight="1" x14ac:dyDescent="0.3">
      <c r="A91" s="97" t="s">
        <v>46</v>
      </c>
      <c r="B91" s="98" t="s">
        <v>83</v>
      </c>
      <c r="C91" s="98" t="s">
        <v>209</v>
      </c>
      <c r="D91" s="93">
        <f t="shared" si="0"/>
        <v>43</v>
      </c>
      <c r="E91" s="151" t="s">
        <v>88</v>
      </c>
    </row>
    <row r="92" spans="1:5" ht="15" customHeight="1" x14ac:dyDescent="0.3">
      <c r="A92" s="97" t="s">
        <v>46</v>
      </c>
      <c r="B92" s="98" t="s">
        <v>83</v>
      </c>
      <c r="C92" s="98" t="s">
        <v>210</v>
      </c>
      <c r="D92" s="93">
        <f t="shared" si="0"/>
        <v>40</v>
      </c>
      <c r="E92" s="151" t="s">
        <v>88</v>
      </c>
    </row>
    <row r="93" spans="1:5" ht="15" customHeight="1" x14ac:dyDescent="0.3">
      <c r="A93" s="97" t="s">
        <v>46</v>
      </c>
      <c r="B93" s="98" t="s">
        <v>90</v>
      </c>
      <c r="C93" s="98" t="s">
        <v>211</v>
      </c>
      <c r="D93" s="93">
        <f t="shared" si="0"/>
        <v>77</v>
      </c>
      <c r="E93" s="151" t="s">
        <v>91</v>
      </c>
    </row>
    <row r="94" spans="1:5" ht="15" customHeight="1" x14ac:dyDescent="0.3">
      <c r="A94" s="97" t="s">
        <v>46</v>
      </c>
      <c r="B94" s="98" t="s">
        <v>90</v>
      </c>
      <c r="C94" s="98" t="s">
        <v>213</v>
      </c>
      <c r="D94" s="93">
        <f t="shared" si="0"/>
        <v>73</v>
      </c>
      <c r="E94" s="151" t="s">
        <v>91</v>
      </c>
    </row>
    <row r="95" spans="1:5" ht="15" customHeight="1" x14ac:dyDescent="0.3">
      <c r="A95" s="97" t="s">
        <v>46</v>
      </c>
      <c r="B95" s="98" t="s">
        <v>90</v>
      </c>
      <c r="C95" s="98" t="s">
        <v>214</v>
      </c>
      <c r="D95" s="93">
        <f t="shared" si="0"/>
        <v>61</v>
      </c>
      <c r="E95" s="151" t="s">
        <v>91</v>
      </c>
    </row>
    <row r="96" spans="1:5" ht="15" customHeight="1" x14ac:dyDescent="0.3">
      <c r="A96" s="97" t="s">
        <v>46</v>
      </c>
      <c r="B96" s="98" t="s">
        <v>90</v>
      </c>
      <c r="C96" s="98" t="s">
        <v>215</v>
      </c>
      <c r="D96" s="93">
        <f t="shared" si="0"/>
        <v>57</v>
      </c>
      <c r="E96" s="151" t="s">
        <v>91</v>
      </c>
    </row>
    <row r="97" spans="1:5" ht="15" customHeight="1" x14ac:dyDescent="0.3">
      <c r="A97" s="97" t="s">
        <v>46</v>
      </c>
      <c r="B97" s="98" t="s">
        <v>90</v>
      </c>
      <c r="C97" s="98" t="s">
        <v>216</v>
      </c>
      <c r="D97" s="93">
        <f t="shared" si="0"/>
        <v>41</v>
      </c>
      <c r="E97" s="151" t="s">
        <v>91</v>
      </c>
    </row>
    <row r="98" spans="1:5" ht="15" customHeight="1" x14ac:dyDescent="0.3">
      <c r="A98" s="97" t="s">
        <v>46</v>
      </c>
      <c r="B98" s="98" t="s">
        <v>90</v>
      </c>
      <c r="C98" s="98" t="s">
        <v>217</v>
      </c>
      <c r="D98" s="93">
        <f t="shared" si="0"/>
        <v>37</v>
      </c>
      <c r="E98" s="151" t="s">
        <v>91</v>
      </c>
    </row>
    <row r="99" spans="1:5" ht="15" customHeight="1" x14ac:dyDescent="0.3">
      <c r="A99" s="97" t="s">
        <v>46</v>
      </c>
      <c r="B99" s="98" t="s">
        <v>90</v>
      </c>
      <c r="C99" s="98" t="s">
        <v>218</v>
      </c>
      <c r="D99" s="93">
        <f t="shared" si="0"/>
        <v>68</v>
      </c>
      <c r="E99" s="151" t="s">
        <v>91</v>
      </c>
    </row>
    <row r="100" spans="1:5" ht="15" customHeight="1" x14ac:dyDescent="0.3">
      <c r="A100" s="97" t="s">
        <v>46</v>
      </c>
      <c r="B100" s="98" t="s">
        <v>90</v>
      </c>
      <c r="C100" s="98" t="s">
        <v>219</v>
      </c>
      <c r="D100" s="93">
        <f t="shared" si="0"/>
        <v>65</v>
      </c>
      <c r="E100" s="151" t="s">
        <v>91</v>
      </c>
    </row>
    <row r="101" spans="1:5" ht="15" customHeight="1" x14ac:dyDescent="0.3">
      <c r="A101" s="97" t="s">
        <v>46</v>
      </c>
      <c r="B101" s="98" t="s">
        <v>90</v>
      </c>
      <c r="C101" s="98" t="s">
        <v>220</v>
      </c>
      <c r="D101" s="93">
        <f t="shared" si="0"/>
        <v>45</v>
      </c>
      <c r="E101" s="151" t="s">
        <v>91</v>
      </c>
    </row>
    <row r="102" spans="1:5" ht="15" customHeight="1" x14ac:dyDescent="0.3">
      <c r="A102" s="97" t="s">
        <v>46</v>
      </c>
      <c r="B102" s="98" t="s">
        <v>90</v>
      </c>
      <c r="C102" s="98" t="s">
        <v>221</v>
      </c>
      <c r="D102" s="93">
        <f t="shared" si="0"/>
        <v>68</v>
      </c>
      <c r="E102" s="151" t="s">
        <v>91</v>
      </c>
    </row>
    <row r="103" spans="1:5" ht="15" customHeight="1" x14ac:dyDescent="0.3">
      <c r="A103" s="109" t="s">
        <v>92</v>
      </c>
      <c r="B103" s="105" t="s">
        <v>95</v>
      </c>
      <c r="C103" s="105" t="s">
        <v>222</v>
      </c>
      <c r="D103" s="93">
        <f t="shared" si="0"/>
        <v>62</v>
      </c>
      <c r="E103" s="151" t="s">
        <v>96</v>
      </c>
    </row>
    <row r="104" spans="1:5" ht="15" customHeight="1" x14ac:dyDescent="0.3">
      <c r="A104" s="109" t="s">
        <v>92</v>
      </c>
      <c r="B104" s="105" t="s">
        <v>95</v>
      </c>
      <c r="C104" s="105" t="s">
        <v>224</v>
      </c>
      <c r="D104" s="93">
        <f t="shared" si="0"/>
        <v>65</v>
      </c>
      <c r="E104" s="151" t="s">
        <v>96</v>
      </c>
    </row>
    <row r="105" spans="1:5" ht="15" customHeight="1" x14ac:dyDescent="0.3">
      <c r="A105" s="109" t="s">
        <v>92</v>
      </c>
      <c r="B105" s="105" t="s">
        <v>95</v>
      </c>
      <c r="C105" s="105" t="s">
        <v>225</v>
      </c>
      <c r="D105" s="93">
        <f t="shared" si="0"/>
        <v>38</v>
      </c>
      <c r="E105" s="151" t="s">
        <v>96</v>
      </c>
    </row>
    <row r="106" spans="1:5" ht="15" customHeight="1" x14ac:dyDescent="0.3">
      <c r="A106" s="109" t="s">
        <v>92</v>
      </c>
      <c r="B106" s="105" t="s">
        <v>95</v>
      </c>
      <c r="C106" s="105" t="s">
        <v>226</v>
      </c>
      <c r="D106" s="93">
        <f t="shared" si="0"/>
        <v>41</v>
      </c>
      <c r="E106" s="151" t="s">
        <v>96</v>
      </c>
    </row>
    <row r="107" spans="1:5" ht="15" customHeight="1" x14ac:dyDescent="0.3">
      <c r="A107" s="97" t="s">
        <v>92</v>
      </c>
      <c r="B107" s="98" t="s">
        <v>98</v>
      </c>
      <c r="C107" s="98" t="s">
        <v>227</v>
      </c>
      <c r="D107" s="93">
        <f t="shared" si="0"/>
        <v>75</v>
      </c>
      <c r="E107" s="151" t="s">
        <v>101</v>
      </c>
    </row>
    <row r="108" spans="1:5" ht="15" customHeight="1" x14ac:dyDescent="0.3">
      <c r="A108" s="97" t="s">
        <v>92</v>
      </c>
      <c r="B108" s="98" t="s">
        <v>98</v>
      </c>
      <c r="C108" s="98" t="s">
        <v>229</v>
      </c>
      <c r="D108" s="93">
        <f t="shared" si="0"/>
        <v>67</v>
      </c>
      <c r="E108" s="151" t="s">
        <v>101</v>
      </c>
    </row>
    <row r="109" spans="1:5" ht="15" customHeight="1" x14ac:dyDescent="0.3">
      <c r="A109" s="97" t="s">
        <v>92</v>
      </c>
      <c r="B109" s="98" t="s">
        <v>98</v>
      </c>
      <c r="C109" s="98" t="s">
        <v>230</v>
      </c>
      <c r="D109" s="93">
        <f t="shared" si="0"/>
        <v>76</v>
      </c>
      <c r="E109" s="151" t="s">
        <v>101</v>
      </c>
    </row>
    <row r="110" spans="1:5" ht="15" customHeight="1" x14ac:dyDescent="0.3">
      <c r="A110" s="97" t="s">
        <v>92</v>
      </c>
      <c r="B110" s="98" t="s">
        <v>98</v>
      </c>
      <c r="C110" s="98" t="s">
        <v>231</v>
      </c>
      <c r="D110" s="93">
        <f t="shared" si="0"/>
        <v>72</v>
      </c>
      <c r="E110" s="151" t="s">
        <v>101</v>
      </c>
    </row>
    <row r="111" spans="1:5" ht="15" customHeight="1" x14ac:dyDescent="0.3">
      <c r="A111" s="97" t="s">
        <v>92</v>
      </c>
      <c r="B111" s="98" t="s">
        <v>98</v>
      </c>
      <c r="C111" s="98" t="s">
        <v>232</v>
      </c>
      <c r="D111" s="93">
        <f t="shared" si="0"/>
        <v>70</v>
      </c>
      <c r="E111" s="151" t="s">
        <v>101</v>
      </c>
    </row>
    <row r="112" spans="1:5" ht="15" customHeight="1" x14ac:dyDescent="0.3">
      <c r="A112" s="97" t="s">
        <v>92</v>
      </c>
      <c r="B112" s="98" t="s">
        <v>98</v>
      </c>
      <c r="C112" s="98" t="s">
        <v>233</v>
      </c>
      <c r="D112" s="93">
        <f t="shared" si="0"/>
        <v>79</v>
      </c>
      <c r="E112" s="151" t="s">
        <v>101</v>
      </c>
    </row>
    <row r="113" spans="1:5" ht="15" customHeight="1" x14ac:dyDescent="0.3">
      <c r="A113" s="97" t="s">
        <v>92</v>
      </c>
      <c r="B113" s="98" t="s">
        <v>98</v>
      </c>
      <c r="C113" s="98" t="s">
        <v>234</v>
      </c>
      <c r="D113" s="93">
        <f t="shared" si="0"/>
        <v>51</v>
      </c>
      <c r="E113" s="151" t="s">
        <v>101</v>
      </c>
    </row>
    <row r="114" spans="1:5" ht="15" customHeight="1" x14ac:dyDescent="0.3">
      <c r="A114" s="97" t="s">
        <v>92</v>
      </c>
      <c r="B114" s="98" t="s">
        <v>98</v>
      </c>
      <c r="C114" s="98" t="s">
        <v>235</v>
      </c>
      <c r="D114" s="93">
        <f t="shared" si="0"/>
        <v>47</v>
      </c>
      <c r="E114" s="151" t="s">
        <v>101</v>
      </c>
    </row>
    <row r="115" spans="1:5" ht="15" customHeight="1" x14ac:dyDescent="0.3">
      <c r="A115" s="97" t="s">
        <v>92</v>
      </c>
      <c r="B115" s="98" t="s">
        <v>98</v>
      </c>
      <c r="C115" s="98" t="s">
        <v>236</v>
      </c>
      <c r="D115" s="93">
        <f t="shared" si="0"/>
        <v>76</v>
      </c>
      <c r="E115" s="151" t="s">
        <v>101</v>
      </c>
    </row>
    <row r="116" spans="1:5" ht="15" customHeight="1" x14ac:dyDescent="0.3">
      <c r="A116" s="97" t="s">
        <v>92</v>
      </c>
      <c r="B116" s="98" t="s">
        <v>98</v>
      </c>
      <c r="C116" s="98" t="s">
        <v>237</v>
      </c>
      <c r="D116" s="93">
        <f t="shared" si="0"/>
        <v>71</v>
      </c>
      <c r="E116" s="151" t="s">
        <v>101</v>
      </c>
    </row>
    <row r="117" spans="1:5" ht="15" customHeight="1" x14ac:dyDescent="0.3">
      <c r="A117" s="97" t="s">
        <v>92</v>
      </c>
      <c r="B117" s="98" t="s">
        <v>98</v>
      </c>
      <c r="C117" s="98" t="s">
        <v>238</v>
      </c>
      <c r="D117" s="93">
        <f t="shared" si="0"/>
        <v>45</v>
      </c>
      <c r="E117" s="151" t="s">
        <v>101</v>
      </c>
    </row>
    <row r="118" spans="1:5" ht="15" customHeight="1" x14ac:dyDescent="0.3">
      <c r="A118" s="97" t="s">
        <v>92</v>
      </c>
      <c r="B118" s="98" t="s">
        <v>98</v>
      </c>
      <c r="C118" s="98" t="s">
        <v>239</v>
      </c>
      <c r="D118" s="93">
        <f t="shared" si="0"/>
        <v>47</v>
      </c>
      <c r="E118" s="151" t="s">
        <v>101</v>
      </c>
    </row>
    <row r="119" spans="1:5" ht="15" customHeight="1" x14ac:dyDescent="0.3">
      <c r="A119" s="97" t="s">
        <v>92</v>
      </c>
      <c r="B119" s="98" t="s">
        <v>98</v>
      </c>
      <c r="C119" s="98" t="s">
        <v>240</v>
      </c>
      <c r="D119" s="93">
        <f t="shared" si="0"/>
        <v>55</v>
      </c>
      <c r="E119" s="151" t="s">
        <v>101</v>
      </c>
    </row>
    <row r="120" spans="1:5" ht="15" customHeight="1" x14ac:dyDescent="0.3">
      <c r="A120" s="97" t="s">
        <v>92</v>
      </c>
      <c r="B120" s="98" t="s">
        <v>98</v>
      </c>
      <c r="C120" s="98" t="s">
        <v>241</v>
      </c>
      <c r="D120" s="93">
        <f t="shared" si="0"/>
        <v>61</v>
      </c>
      <c r="E120" s="151" t="s">
        <v>101</v>
      </c>
    </row>
    <row r="121" spans="1:5" ht="15" customHeight="1" x14ac:dyDescent="0.3">
      <c r="A121" s="97" t="s">
        <v>92</v>
      </c>
      <c r="B121" s="98" t="s">
        <v>98</v>
      </c>
      <c r="C121" s="98" t="s">
        <v>242</v>
      </c>
      <c r="D121" s="93">
        <f t="shared" si="0"/>
        <v>38</v>
      </c>
      <c r="E121" s="151" t="s">
        <v>101</v>
      </c>
    </row>
    <row r="122" spans="1:5" ht="15" customHeight="1" x14ac:dyDescent="0.3">
      <c r="A122" s="109" t="s">
        <v>92</v>
      </c>
      <c r="B122" s="105" t="s">
        <v>98</v>
      </c>
      <c r="C122" s="105" t="s">
        <v>243</v>
      </c>
      <c r="D122" s="93">
        <f t="shared" si="0"/>
        <v>71</v>
      </c>
      <c r="E122" s="151" t="s">
        <v>101</v>
      </c>
    </row>
    <row r="123" spans="1:5" ht="15" customHeight="1" x14ac:dyDescent="0.3">
      <c r="A123" s="109" t="s">
        <v>92</v>
      </c>
      <c r="B123" s="105" t="s">
        <v>98</v>
      </c>
      <c r="C123" s="105" t="s">
        <v>244</v>
      </c>
      <c r="D123" s="93">
        <f t="shared" si="0"/>
        <v>74</v>
      </c>
      <c r="E123" s="151" t="s">
        <v>101</v>
      </c>
    </row>
    <row r="124" spans="1:5" ht="15" customHeight="1" x14ac:dyDescent="0.3">
      <c r="A124" s="109" t="s">
        <v>92</v>
      </c>
      <c r="B124" s="105" t="s">
        <v>98</v>
      </c>
      <c r="C124" s="105" t="s">
        <v>245</v>
      </c>
      <c r="D124" s="93">
        <f t="shared" si="0"/>
        <v>47</v>
      </c>
      <c r="E124" s="151" t="s">
        <v>101</v>
      </c>
    </row>
    <row r="125" spans="1:5" ht="15" customHeight="1" x14ac:dyDescent="0.3">
      <c r="A125" s="97" t="s">
        <v>92</v>
      </c>
      <c r="B125" s="105" t="s">
        <v>98</v>
      </c>
      <c r="C125" s="98" t="s">
        <v>246</v>
      </c>
      <c r="D125" s="93">
        <f t="shared" si="0"/>
        <v>64</v>
      </c>
      <c r="E125" s="151" t="s">
        <v>101</v>
      </c>
    </row>
    <row r="126" spans="1:5" ht="15" customHeight="1" x14ac:dyDescent="0.3">
      <c r="A126" s="97" t="s">
        <v>92</v>
      </c>
      <c r="B126" s="105" t="s">
        <v>98</v>
      </c>
      <c r="C126" s="98" t="s">
        <v>247</v>
      </c>
      <c r="D126" s="93">
        <f t="shared" si="0"/>
        <v>44</v>
      </c>
      <c r="E126" s="151" t="s">
        <v>101</v>
      </c>
    </row>
    <row r="127" spans="1:5" ht="15" customHeight="1" x14ac:dyDescent="0.3">
      <c r="A127" s="97" t="s">
        <v>92</v>
      </c>
      <c r="B127" s="105" t="s">
        <v>98</v>
      </c>
      <c r="C127" s="98" t="s">
        <v>248</v>
      </c>
      <c r="D127" s="93">
        <f t="shared" si="0"/>
        <v>67</v>
      </c>
      <c r="E127" s="151" t="s">
        <v>101</v>
      </c>
    </row>
    <row r="128" spans="1:5" ht="15" customHeight="1" x14ac:dyDescent="0.3">
      <c r="A128" s="97" t="s">
        <v>92</v>
      </c>
      <c r="B128" s="105" t="s">
        <v>98</v>
      </c>
      <c r="C128" s="98" t="s">
        <v>249</v>
      </c>
      <c r="D128" s="93">
        <f t="shared" si="0"/>
        <v>58</v>
      </c>
      <c r="E128" s="151" t="s">
        <v>101</v>
      </c>
    </row>
    <row r="129" spans="1:5" ht="15" customHeight="1" x14ac:dyDescent="0.3">
      <c r="A129" s="97" t="s">
        <v>92</v>
      </c>
      <c r="B129" s="105" t="s">
        <v>98</v>
      </c>
      <c r="C129" s="98" t="s">
        <v>250</v>
      </c>
      <c r="D129" s="93">
        <f t="shared" si="0"/>
        <v>55</v>
      </c>
      <c r="E129" s="151" t="s">
        <v>101</v>
      </c>
    </row>
    <row r="130" spans="1:5" ht="15" customHeight="1" x14ac:dyDescent="0.3">
      <c r="A130" s="97" t="s">
        <v>92</v>
      </c>
      <c r="B130" s="105" t="s">
        <v>98</v>
      </c>
      <c r="C130" s="98" t="s">
        <v>251</v>
      </c>
      <c r="D130" s="93">
        <f t="shared" si="0"/>
        <v>66</v>
      </c>
      <c r="E130" s="151" t="s">
        <v>101</v>
      </c>
    </row>
    <row r="131" spans="1:5" ht="15" customHeight="1" x14ac:dyDescent="0.3">
      <c r="A131" s="109" t="s">
        <v>92</v>
      </c>
      <c r="B131" s="98" t="s">
        <v>103</v>
      </c>
      <c r="C131" s="98" t="s">
        <v>252</v>
      </c>
      <c r="D131" s="93">
        <f t="shared" si="0"/>
        <v>54</v>
      </c>
      <c r="E131" s="151" t="s">
        <v>107</v>
      </c>
    </row>
    <row r="132" spans="1:5" ht="15" customHeight="1" x14ac:dyDescent="0.3">
      <c r="A132" s="109" t="s">
        <v>92</v>
      </c>
      <c r="B132" s="98" t="s">
        <v>103</v>
      </c>
      <c r="C132" s="98" t="s">
        <v>254</v>
      </c>
      <c r="D132" s="93">
        <f t="shared" si="0"/>
        <v>70</v>
      </c>
      <c r="E132" s="151" t="s">
        <v>107</v>
      </c>
    </row>
    <row r="133" spans="1:5" ht="15" customHeight="1" x14ac:dyDescent="0.3">
      <c r="A133" s="109" t="s">
        <v>92</v>
      </c>
      <c r="B133" s="98" t="s">
        <v>103</v>
      </c>
      <c r="C133" s="98" t="s">
        <v>255</v>
      </c>
      <c r="D133" s="93">
        <f t="shared" si="0"/>
        <v>74</v>
      </c>
      <c r="E133" s="151" t="s">
        <v>107</v>
      </c>
    </row>
    <row r="134" spans="1:5" ht="15" customHeight="1" x14ac:dyDescent="0.3">
      <c r="A134" s="109" t="s">
        <v>92</v>
      </c>
      <c r="B134" s="98" t="s">
        <v>103</v>
      </c>
      <c r="C134" s="98" t="s">
        <v>256</v>
      </c>
      <c r="D134" s="93">
        <f t="shared" si="0"/>
        <v>50</v>
      </c>
      <c r="E134" s="151" t="s">
        <v>107</v>
      </c>
    </row>
    <row r="135" spans="1:5" ht="15" customHeight="1" x14ac:dyDescent="0.3">
      <c r="A135" s="109" t="s">
        <v>92</v>
      </c>
      <c r="B135" s="98" t="s">
        <v>103</v>
      </c>
      <c r="C135" s="98" t="s">
        <v>257</v>
      </c>
      <c r="D135" s="93">
        <f t="shared" si="0"/>
        <v>62</v>
      </c>
      <c r="E135" s="151" t="s">
        <v>107</v>
      </c>
    </row>
    <row r="136" spans="1:5" ht="15" customHeight="1" x14ac:dyDescent="0.3">
      <c r="A136" s="109" t="s">
        <v>92</v>
      </c>
      <c r="B136" s="98" t="s">
        <v>103</v>
      </c>
      <c r="C136" s="98" t="s">
        <v>258</v>
      </c>
      <c r="D136" s="93">
        <f t="shared" si="0"/>
        <v>51</v>
      </c>
      <c r="E136" s="151" t="s">
        <v>107</v>
      </c>
    </row>
    <row r="137" spans="1:5" ht="15" customHeight="1" x14ac:dyDescent="0.3">
      <c r="A137" s="97" t="s">
        <v>92</v>
      </c>
      <c r="B137" s="98" t="s">
        <v>109</v>
      </c>
      <c r="C137" s="98" t="s">
        <v>259</v>
      </c>
      <c r="D137" s="93">
        <f t="shared" si="0"/>
        <v>73</v>
      </c>
      <c r="E137" s="151" t="s">
        <v>107</v>
      </c>
    </row>
    <row r="138" spans="1:5" ht="15" customHeight="1" x14ac:dyDescent="0.3">
      <c r="A138" s="97" t="s">
        <v>92</v>
      </c>
      <c r="B138" s="98" t="s">
        <v>109</v>
      </c>
      <c r="C138" s="98" t="s">
        <v>260</v>
      </c>
      <c r="D138" s="93">
        <f t="shared" si="0"/>
        <v>57</v>
      </c>
      <c r="E138" s="151" t="s">
        <v>107</v>
      </c>
    </row>
    <row r="139" spans="1:5" ht="15" customHeight="1" x14ac:dyDescent="0.3">
      <c r="A139" s="97" t="s">
        <v>92</v>
      </c>
      <c r="B139" s="98" t="s">
        <v>109</v>
      </c>
      <c r="C139" s="98" t="s">
        <v>261</v>
      </c>
      <c r="D139" s="93">
        <f t="shared" si="0"/>
        <v>37</v>
      </c>
      <c r="E139" s="151" t="s">
        <v>107</v>
      </c>
    </row>
    <row r="140" spans="1:5" ht="15" customHeight="1" x14ac:dyDescent="0.3">
      <c r="A140" s="97" t="s">
        <v>92</v>
      </c>
      <c r="B140" s="98" t="s">
        <v>109</v>
      </c>
      <c r="C140" s="98" t="s">
        <v>262</v>
      </c>
      <c r="D140" s="93">
        <f t="shared" si="0"/>
        <v>64</v>
      </c>
      <c r="E140" s="151" t="s">
        <v>107</v>
      </c>
    </row>
    <row r="141" spans="1:5" ht="15" customHeight="1" x14ac:dyDescent="0.3">
      <c r="A141" s="97" t="s">
        <v>92</v>
      </c>
      <c r="B141" s="98" t="s">
        <v>109</v>
      </c>
      <c r="C141" s="152" t="s">
        <v>263</v>
      </c>
      <c r="D141" s="93">
        <f t="shared" si="0"/>
        <v>42</v>
      </c>
      <c r="E141" s="151" t="s">
        <v>107</v>
      </c>
    </row>
    <row r="142" spans="1:5" ht="15" customHeight="1" x14ac:dyDescent="0.3">
      <c r="A142" s="97" t="s">
        <v>92</v>
      </c>
      <c r="B142" s="153" t="s">
        <v>113</v>
      </c>
      <c r="C142" s="98" t="s">
        <v>264</v>
      </c>
      <c r="D142" s="93">
        <f t="shared" si="0"/>
        <v>76</v>
      </c>
      <c r="E142" s="151" t="s">
        <v>107</v>
      </c>
    </row>
    <row r="143" spans="1:5" ht="15" customHeight="1" x14ac:dyDescent="0.3">
      <c r="A143" s="97" t="s">
        <v>92</v>
      </c>
      <c r="B143" s="153" t="s">
        <v>113</v>
      </c>
      <c r="C143" s="98" t="s">
        <v>265</v>
      </c>
      <c r="D143" s="93">
        <f t="shared" si="0"/>
        <v>77</v>
      </c>
      <c r="E143" s="151" t="s">
        <v>107</v>
      </c>
    </row>
    <row r="144" spans="1:5" ht="15" customHeight="1" x14ac:dyDescent="0.3">
      <c r="A144" s="97" t="s">
        <v>92</v>
      </c>
      <c r="B144" s="153" t="s">
        <v>113</v>
      </c>
      <c r="C144" s="98" t="s">
        <v>266</v>
      </c>
      <c r="D144" s="93">
        <f t="shared" si="0"/>
        <v>60</v>
      </c>
      <c r="E144" s="151" t="s">
        <v>107</v>
      </c>
    </row>
    <row r="145" spans="1:5" ht="15" customHeight="1" x14ac:dyDescent="0.3">
      <c r="A145" s="97" t="s">
        <v>92</v>
      </c>
      <c r="B145" s="153" t="s">
        <v>113</v>
      </c>
      <c r="C145" s="98" t="s">
        <v>267</v>
      </c>
      <c r="D145" s="93">
        <f t="shared" si="0"/>
        <v>59</v>
      </c>
      <c r="E145" s="151" t="s">
        <v>107</v>
      </c>
    </row>
    <row r="146" spans="1:5" ht="15" customHeight="1" thickBot="1" x14ac:dyDescent="0.35">
      <c r="A146" s="154" t="s">
        <v>92</v>
      </c>
      <c r="B146" s="155" t="s">
        <v>113</v>
      </c>
      <c r="C146" s="112" t="s">
        <v>268</v>
      </c>
      <c r="D146" s="115">
        <f t="shared" si="0"/>
        <v>40</v>
      </c>
      <c r="E146" s="156" t="s">
        <v>107</v>
      </c>
    </row>
  </sheetData>
  <mergeCells count="1">
    <mergeCell ref="A15:B15"/>
  </mergeCells>
  <conditionalFormatting sqref="D16:D227">
    <cfRule type="cellIs" dxfId="15" priority="3" operator="lessThan">
      <formula>0</formula>
    </cfRule>
  </conditionalFormatting>
  <conditionalFormatting sqref="D15:E15">
    <cfRule type="cellIs" dxfId="14" priority="1" operator="equal">
      <formula>"FDA"</formula>
    </cfRule>
    <cfRule type="cellIs" dxfId="13" priority="2" operator="equal">
      <formula>"FDA"</formula>
    </cfRule>
  </conditionalFormatting>
  <hyperlinks>
    <hyperlink ref="E67" r:id="rId1" xr:uid="{AC6C4817-0DBC-456D-9DBD-F5AF868526AA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I25"/>
  <sheetViews>
    <sheetView topLeftCell="F1" workbookViewId="0">
      <selection activeCell="B18" sqref="B18"/>
    </sheetView>
  </sheetViews>
  <sheetFormatPr defaultColWidth="12.6640625" defaultRowHeight="15" customHeight="1" x14ac:dyDescent="0.3"/>
  <cols>
    <col min="1" max="1" width="109" customWidth="1"/>
    <col min="2" max="3" width="21.77734375" customWidth="1"/>
    <col min="4" max="5" width="31.88671875" customWidth="1"/>
    <col min="6" max="7" width="32.6640625" customWidth="1"/>
    <col min="8" max="8" width="85" customWidth="1"/>
    <col min="9" max="9" width="16.88671875" customWidth="1"/>
    <col min="10" max="29" width="8.6640625" customWidth="1"/>
  </cols>
  <sheetData>
    <row r="1" spans="1:9" ht="14.4" x14ac:dyDescent="0.3">
      <c r="A1" s="3" t="s">
        <v>7</v>
      </c>
      <c r="B1" s="3" t="s">
        <v>270</v>
      </c>
      <c r="C1" s="222" t="s">
        <v>519</v>
      </c>
      <c r="D1" s="3" t="s">
        <v>271</v>
      </c>
      <c r="E1" s="222" t="s">
        <v>520</v>
      </c>
      <c r="F1" s="3" t="s">
        <v>272</v>
      </c>
      <c r="G1" s="222" t="s">
        <v>521</v>
      </c>
      <c r="H1" s="3" t="s">
        <v>273</v>
      </c>
      <c r="I1" s="3" t="s">
        <v>1</v>
      </c>
    </row>
    <row r="2" spans="1:9" ht="14.4" x14ac:dyDescent="0.3">
      <c r="A2" s="4" t="s">
        <v>47</v>
      </c>
      <c r="B2" s="2" t="s">
        <v>60</v>
      </c>
      <c r="C2" s="2" t="str">
        <f>VLOOKUP(B2,'ATP - Ad Extensions'!$C:$C,1,FALSE)</f>
        <v>About DLBCL</v>
      </c>
      <c r="D2" s="2" t="s">
        <v>274</v>
      </c>
      <c r="E2" s="2" t="str">
        <f>VLOOKUP(D2,'ATP - Ad Extensions'!$E:$E,1,FALSE)</f>
        <v>Learn How DLBCL Develops &amp;</v>
      </c>
      <c r="F2" s="2" t="s">
        <v>275</v>
      </c>
      <c r="G2" s="2" t="str">
        <f>VLOOKUP(F2,'ATP - Ad Extensions'!$G:$G,1,FALSE)</f>
        <v>Understand Treatment Goals.</v>
      </c>
      <c r="H2" s="2" t="s">
        <v>132</v>
      </c>
      <c r="I2" s="2" t="s">
        <v>3</v>
      </c>
    </row>
    <row r="3" spans="1:9" ht="14.4" x14ac:dyDescent="0.3">
      <c r="A3" s="4" t="s">
        <v>47</v>
      </c>
      <c r="B3" s="2" t="s">
        <v>276</v>
      </c>
      <c r="C3" s="2" t="str">
        <f>VLOOKUP(B3,'ATP - Ad Extensions'!$C:$C,1,FALSE)</f>
        <v>Financial Support</v>
      </c>
      <c r="D3" s="2" t="s">
        <v>277</v>
      </c>
      <c r="E3" s="2" t="str">
        <f>VLOOKUP(D3,'ATP - Ad Extensions'!$E:$E,1,FALSE)</f>
        <v>Learn About Financial Assistance</v>
      </c>
      <c r="F3" s="2" t="s">
        <v>278</v>
      </c>
      <c r="G3" s="2" t="str">
        <f>VLOOKUP(F3,'ATP - Ad Extensions'!$G:$G,1,FALSE)</f>
        <v>Options &amp; Sign Up For Support.</v>
      </c>
      <c r="H3" s="2" t="s">
        <v>206</v>
      </c>
      <c r="I3" s="2" t="s">
        <v>3</v>
      </c>
    </row>
    <row r="4" spans="1:9" ht="14.4" x14ac:dyDescent="0.3">
      <c r="A4" s="4" t="s">
        <v>47</v>
      </c>
      <c r="B4" s="2" t="s">
        <v>279</v>
      </c>
      <c r="C4" s="2" t="str">
        <f>VLOOKUP(B4,'ATP - Ad Extensions'!$C:$C,1,FALSE)</f>
        <v>Patient Support</v>
      </c>
      <c r="D4" s="2" t="s">
        <v>280</v>
      </c>
      <c r="E4" s="2" t="str">
        <f>VLOOKUP(D4,'ATP - Ad Extensions'!$E:$E,1,FALSE)</f>
        <v>Access Questions For Your Doctor</v>
      </c>
      <c r="F4" s="2" t="s">
        <v>281</v>
      </c>
      <c r="G4" s="2" t="str">
        <f>VLOOKUP(F4,'ATP - Ad Extensions'!$G:$G,1,FALSE)</f>
        <v>About A 3L+ DLBCL Infusion Option.</v>
      </c>
      <c r="H4" s="2" t="s">
        <v>282</v>
      </c>
      <c r="I4" s="2" t="s">
        <v>3</v>
      </c>
    </row>
    <row r="5" spans="1:9" ht="14.4" x14ac:dyDescent="0.3">
      <c r="A5" s="4" t="s">
        <v>47</v>
      </c>
      <c r="B5" s="2" t="s">
        <v>283</v>
      </c>
      <c r="C5" s="2" t="str">
        <f>VLOOKUP(B5,'ATP - Ad Extensions'!$C:$C,1,FALSE)</f>
        <v>Safety Information</v>
      </c>
      <c r="D5" s="2" t="s">
        <v>284</v>
      </c>
      <c r="E5" s="2" t="str">
        <f>VLOOKUP(D5,'ATP - Ad Extensions'!$E:$E,1,FALSE)</f>
        <v>View Important Safety Information</v>
      </c>
      <c r="F5" s="2" t="s">
        <v>285</v>
      </c>
      <c r="G5" s="2" t="str">
        <f>VLOOKUP(F5,'ATP - Ad Extensions'!$G:$G,1,FALSE)</f>
        <v>For A 3L+ DLBCL Treatment Option.</v>
      </c>
      <c r="H5" s="2" t="s">
        <v>286</v>
      </c>
      <c r="I5" s="2" t="s">
        <v>3</v>
      </c>
    </row>
    <row r="6" spans="1:9" ht="14.4" x14ac:dyDescent="0.3">
      <c r="A6" s="4" t="s">
        <v>47</v>
      </c>
      <c r="B6" s="2" t="s">
        <v>287</v>
      </c>
      <c r="C6" s="2" t="str">
        <f>VLOOKUP(B6,'ATP - Ad Extensions'!$C:$C,1,FALSE)</f>
        <v>Side Effects</v>
      </c>
      <c r="D6" s="2" t="s">
        <v>288</v>
      </c>
      <c r="E6" s="2" t="str">
        <f>VLOOKUP(D6,'ATP - Ad Extensions'!$E:$E,1,FALSE)</f>
        <v>Review The Possible Side Effects</v>
      </c>
      <c r="F6" s="2" t="s">
        <v>289</v>
      </c>
      <c r="G6" s="2" t="str">
        <f>VLOOKUP(F6,'ATP - Ad Extensions'!$G:$G,1,FALSE)</f>
        <v>For A DLBCL Prescription Medicine.</v>
      </c>
      <c r="H6" s="2" t="s">
        <v>290</v>
      </c>
      <c r="I6" s="2" t="s">
        <v>3</v>
      </c>
    </row>
    <row r="7" spans="1:9" ht="14.4" x14ac:dyDescent="0.3">
      <c r="A7" s="4" t="s">
        <v>47</v>
      </c>
      <c r="B7" s="2" t="s">
        <v>291</v>
      </c>
      <c r="C7" s="2" t="str">
        <f>VLOOKUP(B7,'ATP - Ad Extensions'!$C:$C,1,FALSE)</f>
        <v>Starting Treatment</v>
      </c>
      <c r="D7" s="2" t="s">
        <v>292</v>
      </c>
      <c r="E7" s="2" t="str">
        <f>VLOOKUP(D7,'ATP - Ad Extensions'!$E:$E,1,FALSE)</f>
        <v>Download The Patient Brochure To</v>
      </c>
      <c r="F7" s="2" t="s">
        <v>293</v>
      </c>
      <c r="G7" s="2" t="str">
        <f>VLOOKUP(F7,'ATP - Ad Extensions'!$G:$G,1,FALSE)</f>
        <v>Learn More About DLBCL Treatment.</v>
      </c>
      <c r="H7" s="2" t="s">
        <v>294</v>
      </c>
      <c r="I7" s="2" t="s">
        <v>3</v>
      </c>
    </row>
    <row r="8" spans="1:9" ht="14.4" x14ac:dyDescent="0.3">
      <c r="A8" s="4" t="s">
        <v>114</v>
      </c>
      <c r="B8" s="2" t="s">
        <v>60</v>
      </c>
      <c r="C8" s="2" t="str">
        <f>VLOOKUP(B8,'ATP - Ad Extensions'!$C:$C,1,FALSE)</f>
        <v>About DLBCL</v>
      </c>
      <c r="D8" s="2" t="s">
        <v>274</v>
      </c>
      <c r="E8" s="2" t="str">
        <f>VLOOKUP(D8,'ATP - Ad Extensions'!$E:$E,1,FALSE)</f>
        <v>Learn How DLBCL Develops &amp;</v>
      </c>
      <c r="F8" s="2" t="s">
        <v>275</v>
      </c>
      <c r="G8" s="2" t="str">
        <f>VLOOKUP(F8,'ATP - Ad Extensions'!$G:$G,1,FALSE)</f>
        <v>Understand Treatment Goals.</v>
      </c>
      <c r="H8" s="2" t="s">
        <v>132</v>
      </c>
      <c r="I8" s="2" t="s">
        <v>3</v>
      </c>
    </row>
    <row r="9" spans="1:9" ht="14.4" x14ac:dyDescent="0.3">
      <c r="A9" s="4" t="s">
        <v>114</v>
      </c>
      <c r="B9" s="2" t="s">
        <v>276</v>
      </c>
      <c r="C9" s="2" t="str">
        <f>VLOOKUP(B9,'ATP - Ad Extensions'!$C:$C,1,FALSE)</f>
        <v>Financial Support</v>
      </c>
      <c r="D9" s="2" t="s">
        <v>277</v>
      </c>
      <c r="E9" s="2" t="str">
        <f>VLOOKUP(D9,'ATP - Ad Extensions'!$E:$E,1,FALSE)</f>
        <v>Learn About Financial Assistance</v>
      </c>
      <c r="F9" s="2" t="s">
        <v>278</v>
      </c>
      <c r="G9" s="2" t="str">
        <f>VLOOKUP(F9,'ATP - Ad Extensions'!$G:$G,1,FALSE)</f>
        <v>Options &amp; Sign Up For Support.</v>
      </c>
      <c r="H9" s="2" t="s">
        <v>206</v>
      </c>
      <c r="I9" s="2" t="s">
        <v>3</v>
      </c>
    </row>
    <row r="10" spans="1:9" ht="14.4" x14ac:dyDescent="0.3">
      <c r="A10" s="4" t="s">
        <v>114</v>
      </c>
      <c r="B10" s="2" t="s">
        <v>279</v>
      </c>
      <c r="C10" s="2" t="str">
        <f>VLOOKUP(B10,'ATP - Ad Extensions'!$C:$C,1,FALSE)</f>
        <v>Patient Support</v>
      </c>
      <c r="D10" s="2" t="s">
        <v>280</v>
      </c>
      <c r="E10" s="2" t="str">
        <f>VLOOKUP(D10,'ATP - Ad Extensions'!$E:$E,1,FALSE)</f>
        <v>Access Questions For Your Doctor</v>
      </c>
      <c r="F10" s="2" t="s">
        <v>281</v>
      </c>
      <c r="G10" s="2" t="str">
        <f>VLOOKUP(F10,'ATP - Ad Extensions'!$G:$G,1,FALSE)</f>
        <v>About A 3L+ DLBCL Infusion Option.</v>
      </c>
      <c r="H10" s="2" t="s">
        <v>282</v>
      </c>
      <c r="I10" s="2" t="s">
        <v>3</v>
      </c>
    </row>
    <row r="11" spans="1:9" ht="14.4" x14ac:dyDescent="0.3">
      <c r="A11" s="4" t="s">
        <v>114</v>
      </c>
      <c r="B11" s="2" t="s">
        <v>283</v>
      </c>
      <c r="C11" s="2" t="str">
        <f>VLOOKUP(B11,'ATP - Ad Extensions'!$C:$C,1,FALSE)</f>
        <v>Safety Information</v>
      </c>
      <c r="D11" s="2" t="s">
        <v>284</v>
      </c>
      <c r="E11" s="2" t="str">
        <f>VLOOKUP(D11,'ATP - Ad Extensions'!$E:$E,1,FALSE)</f>
        <v>View Important Safety Information</v>
      </c>
      <c r="F11" s="2" t="s">
        <v>285</v>
      </c>
      <c r="G11" s="2" t="str">
        <f>VLOOKUP(F11,'ATP - Ad Extensions'!$G:$G,1,FALSE)</f>
        <v>For A 3L+ DLBCL Treatment Option.</v>
      </c>
      <c r="H11" s="2" t="s">
        <v>286</v>
      </c>
      <c r="I11" s="2" t="s">
        <v>3</v>
      </c>
    </row>
    <row r="12" spans="1:9" ht="14.4" x14ac:dyDescent="0.3">
      <c r="A12" s="4" t="s">
        <v>114</v>
      </c>
      <c r="B12" s="2" t="s">
        <v>287</v>
      </c>
      <c r="C12" s="2" t="str">
        <f>VLOOKUP(B12,'ATP - Ad Extensions'!$C:$C,1,FALSE)</f>
        <v>Side Effects</v>
      </c>
      <c r="D12" s="2" t="s">
        <v>288</v>
      </c>
      <c r="E12" s="2" t="str">
        <f>VLOOKUP(D12,'ATP - Ad Extensions'!$E:$E,1,FALSE)</f>
        <v>Review The Possible Side Effects</v>
      </c>
      <c r="F12" s="2" t="s">
        <v>289</v>
      </c>
      <c r="G12" s="2" t="str">
        <f>VLOOKUP(F12,'ATP - Ad Extensions'!$G:$G,1,FALSE)</f>
        <v>For A DLBCL Prescription Medicine.</v>
      </c>
      <c r="H12" s="2" t="s">
        <v>290</v>
      </c>
      <c r="I12" s="2" t="s">
        <v>3</v>
      </c>
    </row>
    <row r="13" spans="1:9" ht="14.4" x14ac:dyDescent="0.3">
      <c r="A13" s="4" t="s">
        <v>114</v>
      </c>
      <c r="B13" s="246" t="s">
        <v>531</v>
      </c>
      <c r="C13" s="2" t="e">
        <f>VLOOKUP(B13,'ATP - Ad Extensions'!$C:$C,1,FALSE)</f>
        <v>#N/A</v>
      </c>
      <c r="D13" s="246" t="s">
        <v>531</v>
      </c>
      <c r="E13" s="2" t="e">
        <f>VLOOKUP(D13,'ATP - Ad Extensions'!$E:$E,1,FALSE)</f>
        <v>#N/A</v>
      </c>
      <c r="F13" s="2" t="s">
        <v>293</v>
      </c>
      <c r="G13" s="2" t="str">
        <f>VLOOKUP(F13,'ATP - Ad Extensions'!$G:$G,1,FALSE)</f>
        <v>Learn More About DLBCL Treatment.</v>
      </c>
      <c r="H13" s="2" t="s">
        <v>294</v>
      </c>
      <c r="I13" s="2" t="s">
        <v>3</v>
      </c>
    </row>
    <row r="14" spans="1:9" ht="14.4" x14ac:dyDescent="0.3">
      <c r="A14" s="4" t="s">
        <v>93</v>
      </c>
      <c r="B14" s="246" t="s">
        <v>532</v>
      </c>
      <c r="C14" s="2" t="e">
        <f>VLOOKUP(B14,'ATP - Ad Extensions'!$C:$C,1,FALSE)</f>
        <v>#N/A</v>
      </c>
      <c r="D14" s="2" t="s">
        <v>274</v>
      </c>
      <c r="E14" s="2" t="str">
        <f>VLOOKUP(D14,'ATP - Ad Extensions'!$E:$E,1,FALSE)</f>
        <v>Learn How DLBCL Develops &amp;</v>
      </c>
      <c r="F14" s="2" t="s">
        <v>275</v>
      </c>
      <c r="G14" s="2" t="str">
        <f>VLOOKUP(F14,'ATP - Ad Extensions'!$G:$G,1,FALSE)</f>
        <v>Understand Treatment Goals.</v>
      </c>
      <c r="H14" s="2" t="s">
        <v>132</v>
      </c>
      <c r="I14" s="2" t="s">
        <v>3</v>
      </c>
    </row>
    <row r="15" spans="1:9" ht="14.4" x14ac:dyDescent="0.3">
      <c r="A15" s="4" t="s">
        <v>93</v>
      </c>
      <c r="B15" s="2" t="s">
        <v>276</v>
      </c>
      <c r="C15" s="2" t="str">
        <f>VLOOKUP(B15,'ATP - Ad Extensions'!$C:$C,1,FALSE)</f>
        <v>Financial Support</v>
      </c>
      <c r="D15" s="2" t="s">
        <v>277</v>
      </c>
      <c r="E15" s="2" t="str">
        <f>VLOOKUP(D15,'ATP - Ad Extensions'!$E:$E,1,FALSE)</f>
        <v>Learn About Financial Assistance</v>
      </c>
      <c r="F15" s="2" t="s">
        <v>278</v>
      </c>
      <c r="G15" s="2" t="str">
        <f>VLOOKUP(F15,'ATP - Ad Extensions'!$G:$G,1,FALSE)</f>
        <v>Options &amp; Sign Up For Support.</v>
      </c>
      <c r="H15" s="2" t="s">
        <v>206</v>
      </c>
      <c r="I15" s="2" t="s">
        <v>3</v>
      </c>
    </row>
    <row r="16" spans="1:9" ht="14.4" x14ac:dyDescent="0.3">
      <c r="A16" s="4" t="s">
        <v>93</v>
      </c>
      <c r="B16" s="246" t="s">
        <v>533</v>
      </c>
      <c r="C16" s="2" t="e">
        <f>VLOOKUP(B16,'ATP - Ad Extensions'!$C:$C,1,FALSE)</f>
        <v>#N/A</v>
      </c>
      <c r="D16" s="2" t="s">
        <v>280</v>
      </c>
      <c r="E16" s="2" t="str">
        <f>VLOOKUP(D16,'ATP - Ad Extensions'!$E:$E,1,FALSE)</f>
        <v>Access Questions For Your Doctor</v>
      </c>
      <c r="F16" s="2" t="s">
        <v>281</v>
      </c>
      <c r="G16" s="2" t="str">
        <f>VLOOKUP(F16,'ATP - Ad Extensions'!$G:$G,1,FALSE)</f>
        <v>About A 3L+ DLBCL Infusion Option.</v>
      </c>
      <c r="H16" s="2" t="s">
        <v>282</v>
      </c>
      <c r="I16" s="2" t="s">
        <v>3</v>
      </c>
    </row>
    <row r="17" spans="1:9" ht="14.4" x14ac:dyDescent="0.3">
      <c r="A17" s="4" t="s">
        <v>93</v>
      </c>
      <c r="B17" s="2" t="s">
        <v>283</v>
      </c>
      <c r="C17" s="2" t="str">
        <f>VLOOKUP(B17,'ATP - Ad Extensions'!$C:$C,1,FALSE)</f>
        <v>Safety Information</v>
      </c>
      <c r="D17" s="2" t="s">
        <v>284</v>
      </c>
      <c r="E17" s="2" t="str">
        <f>VLOOKUP(D17,'ATP - Ad Extensions'!$E:$E,1,FALSE)</f>
        <v>View Important Safety Information</v>
      </c>
      <c r="F17" s="2" t="s">
        <v>285</v>
      </c>
      <c r="G17" s="2" t="str">
        <f>VLOOKUP(F17,'ATP - Ad Extensions'!$G:$G,1,FALSE)</f>
        <v>For A 3L+ DLBCL Treatment Option.</v>
      </c>
      <c r="H17" s="2" t="s">
        <v>286</v>
      </c>
      <c r="I17" s="2" t="s">
        <v>3</v>
      </c>
    </row>
    <row r="18" spans="1:9" ht="14.4" x14ac:dyDescent="0.3">
      <c r="A18" s="4" t="s">
        <v>93</v>
      </c>
      <c r="B18" s="2" t="s">
        <v>287</v>
      </c>
      <c r="C18" s="2" t="str">
        <f>VLOOKUP(B18,'ATP - Ad Extensions'!$C:$C,1,FALSE)</f>
        <v>Side Effects</v>
      </c>
      <c r="D18" s="2" t="s">
        <v>288</v>
      </c>
      <c r="E18" s="2" t="str">
        <f>VLOOKUP(D18,'ATP - Ad Extensions'!$E:$E,1,FALSE)</f>
        <v>Review The Possible Side Effects</v>
      </c>
      <c r="F18" s="2" t="s">
        <v>289</v>
      </c>
      <c r="G18" s="2" t="str">
        <f>VLOOKUP(F18,'ATP - Ad Extensions'!$G:$G,1,FALSE)</f>
        <v>For A DLBCL Prescription Medicine.</v>
      </c>
      <c r="H18" s="2" t="s">
        <v>290</v>
      </c>
      <c r="I18" s="2" t="s">
        <v>3</v>
      </c>
    </row>
    <row r="19" spans="1:9" ht="14.4" x14ac:dyDescent="0.3">
      <c r="A19" s="4" t="s">
        <v>93</v>
      </c>
      <c r="B19" s="2" t="s">
        <v>291</v>
      </c>
      <c r="C19" s="2" t="str">
        <f>VLOOKUP(B19,'ATP - Ad Extensions'!$C:$C,1,FALSE)</f>
        <v>Starting Treatment</v>
      </c>
      <c r="D19" s="2" t="s">
        <v>292</v>
      </c>
      <c r="E19" s="2" t="str">
        <f>VLOOKUP(D19,'ATP - Ad Extensions'!$E:$E,1,FALSE)</f>
        <v>Download The Patient Brochure To</v>
      </c>
      <c r="F19" s="2" t="s">
        <v>293</v>
      </c>
      <c r="G19" s="2" t="str">
        <f>VLOOKUP(F19,'ATP - Ad Extensions'!$G:$G,1,FALSE)</f>
        <v>Learn More About DLBCL Treatment.</v>
      </c>
      <c r="H19" s="2" t="s">
        <v>294</v>
      </c>
      <c r="I19" s="2" t="s">
        <v>3</v>
      </c>
    </row>
    <row r="20" spans="1:9" ht="14.4" x14ac:dyDescent="0.3">
      <c r="A20" s="4" t="s">
        <v>121</v>
      </c>
      <c r="B20" s="2" t="s">
        <v>60</v>
      </c>
      <c r="C20" s="2" t="str">
        <f>VLOOKUP(B20,'ATP - Ad Extensions'!$C:$C,1,FALSE)</f>
        <v>About DLBCL</v>
      </c>
      <c r="D20" s="2" t="s">
        <v>274</v>
      </c>
      <c r="E20" s="2" t="str">
        <f>VLOOKUP(D20,'ATP - Ad Extensions'!$E:$E,1,FALSE)</f>
        <v>Learn How DLBCL Develops &amp;</v>
      </c>
      <c r="F20" s="2" t="s">
        <v>275</v>
      </c>
      <c r="G20" s="2" t="str">
        <f>VLOOKUP(F20,'ATP - Ad Extensions'!$G:$G,1,FALSE)</f>
        <v>Understand Treatment Goals.</v>
      </c>
      <c r="H20" s="2" t="s">
        <v>132</v>
      </c>
      <c r="I20" s="2" t="s">
        <v>3</v>
      </c>
    </row>
    <row r="21" spans="1:9" ht="15.75" customHeight="1" x14ac:dyDescent="0.3">
      <c r="A21" s="4" t="s">
        <v>121</v>
      </c>
      <c r="B21" s="2" t="s">
        <v>276</v>
      </c>
      <c r="C21" s="2" t="str">
        <f>VLOOKUP(B21,'ATP - Ad Extensions'!$C:$C,1,FALSE)</f>
        <v>Financial Support</v>
      </c>
      <c r="D21" s="2" t="s">
        <v>277</v>
      </c>
      <c r="E21" s="2" t="str">
        <f>VLOOKUP(D21,'ATP - Ad Extensions'!$E:$E,1,FALSE)</f>
        <v>Learn About Financial Assistance</v>
      </c>
      <c r="F21" s="2" t="s">
        <v>278</v>
      </c>
      <c r="G21" s="2" t="str">
        <f>VLOOKUP(F21,'ATP - Ad Extensions'!$G:$G,1,FALSE)</f>
        <v>Options &amp; Sign Up For Support.</v>
      </c>
      <c r="H21" s="2" t="s">
        <v>206</v>
      </c>
      <c r="I21" s="2" t="s">
        <v>3</v>
      </c>
    </row>
    <row r="22" spans="1:9" ht="15.75" customHeight="1" x14ac:dyDescent="0.3">
      <c r="A22" s="4" t="s">
        <v>121</v>
      </c>
      <c r="B22" s="2" t="s">
        <v>279</v>
      </c>
      <c r="C22" s="2" t="str">
        <f>VLOOKUP(B22,'ATP - Ad Extensions'!$C:$C,1,FALSE)</f>
        <v>Patient Support</v>
      </c>
      <c r="D22" s="2" t="s">
        <v>280</v>
      </c>
      <c r="E22" s="2" t="str">
        <f>VLOOKUP(D22,'ATP - Ad Extensions'!$E:$E,1,FALSE)</f>
        <v>Access Questions For Your Doctor</v>
      </c>
      <c r="F22" s="2" t="s">
        <v>281</v>
      </c>
      <c r="G22" s="2" t="str">
        <f>VLOOKUP(F22,'ATP - Ad Extensions'!$G:$G,1,FALSE)</f>
        <v>About A 3L+ DLBCL Infusion Option.</v>
      </c>
      <c r="H22" s="2" t="s">
        <v>282</v>
      </c>
      <c r="I22" s="2" t="s">
        <v>3</v>
      </c>
    </row>
    <row r="23" spans="1:9" ht="15.75" customHeight="1" x14ac:dyDescent="0.3">
      <c r="A23" s="4" t="s">
        <v>121</v>
      </c>
      <c r="B23" s="2" t="s">
        <v>283</v>
      </c>
      <c r="C23" s="2" t="str">
        <f>VLOOKUP(B23,'ATP - Ad Extensions'!$C:$C,1,FALSE)</f>
        <v>Safety Information</v>
      </c>
      <c r="D23" s="2" t="s">
        <v>284</v>
      </c>
      <c r="E23" s="2" t="str">
        <f>VLOOKUP(D23,'ATP - Ad Extensions'!$E:$E,1,FALSE)</f>
        <v>View Important Safety Information</v>
      </c>
      <c r="F23" s="2" t="s">
        <v>285</v>
      </c>
      <c r="G23" s="2" t="str">
        <f>VLOOKUP(F23,'ATP - Ad Extensions'!$G:$G,1,FALSE)</f>
        <v>For A 3L+ DLBCL Treatment Option.</v>
      </c>
      <c r="H23" s="2" t="s">
        <v>286</v>
      </c>
      <c r="I23" s="2" t="s">
        <v>3</v>
      </c>
    </row>
    <row r="24" spans="1:9" ht="15.75" customHeight="1" x14ac:dyDescent="0.3">
      <c r="A24" s="4" t="s">
        <v>121</v>
      </c>
      <c r="B24" s="2" t="s">
        <v>287</v>
      </c>
      <c r="C24" s="2" t="str">
        <f>VLOOKUP(B24,'ATP - Ad Extensions'!$C:$C,1,FALSE)</f>
        <v>Side Effects</v>
      </c>
      <c r="D24" s="2" t="s">
        <v>288</v>
      </c>
      <c r="E24" s="2" t="str">
        <f>VLOOKUP(D24,'ATP - Ad Extensions'!$E:$E,1,FALSE)</f>
        <v>Review The Possible Side Effects</v>
      </c>
      <c r="F24" s="2" t="s">
        <v>289</v>
      </c>
      <c r="G24" s="2" t="str">
        <f>VLOOKUP(F24,'ATP - Ad Extensions'!$G:$G,1,FALSE)</f>
        <v>For A DLBCL Prescription Medicine.</v>
      </c>
      <c r="H24" s="2" t="s">
        <v>290</v>
      </c>
      <c r="I24" s="2" t="s">
        <v>3</v>
      </c>
    </row>
    <row r="25" spans="1:9" ht="15.75" customHeight="1" x14ac:dyDescent="0.3">
      <c r="A25" s="4" t="s">
        <v>121</v>
      </c>
      <c r="B25" s="2" t="s">
        <v>291</v>
      </c>
      <c r="C25" s="2" t="str">
        <f>VLOOKUP(B25,'ATP - Ad Extensions'!$C:$C,1,FALSE)</f>
        <v>Starting Treatment</v>
      </c>
      <c r="D25" s="2" t="s">
        <v>292</v>
      </c>
      <c r="E25" s="2" t="str">
        <f>VLOOKUP(D25,'ATP - Ad Extensions'!$E:$E,1,FALSE)</f>
        <v>Download The Patient Brochure To</v>
      </c>
      <c r="F25" s="2" t="s">
        <v>293</v>
      </c>
      <c r="G25" s="2" t="str">
        <f>VLOOKUP(F25,'ATP - Ad Extensions'!$G:$G,1,FALSE)</f>
        <v>Learn More About DLBCL Treatment.</v>
      </c>
      <c r="H25" s="2" t="s">
        <v>294</v>
      </c>
      <c r="I25" s="2" t="s">
        <v>3</v>
      </c>
    </row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25"/>
  <sheetViews>
    <sheetView workbookViewId="0">
      <selection activeCell="B18" sqref="B18"/>
    </sheetView>
  </sheetViews>
  <sheetFormatPr defaultColWidth="12.6640625" defaultRowHeight="15" customHeight="1" x14ac:dyDescent="0.3"/>
  <cols>
    <col min="1" max="1" width="108.33203125" customWidth="1"/>
    <col min="2" max="3" width="20.88671875" customWidth="1"/>
    <col min="4" max="5" width="31.88671875" customWidth="1"/>
    <col min="6" max="7" width="32.6640625" customWidth="1"/>
    <col min="8" max="8" width="84.6640625" customWidth="1"/>
    <col min="9" max="9" width="52.5546875" customWidth="1"/>
    <col min="10" max="10" width="43" customWidth="1"/>
    <col min="11" max="11" width="54.44140625" customWidth="1"/>
    <col min="12" max="12" width="9.77734375" bestFit="1" customWidth="1"/>
    <col min="13" max="13" width="15.6640625" customWidth="1"/>
    <col min="14" max="33" width="8.6640625" customWidth="1"/>
  </cols>
  <sheetData>
    <row r="1" spans="1:13" ht="14.4" x14ac:dyDescent="0.3">
      <c r="A1" s="3" t="s">
        <v>7</v>
      </c>
      <c r="B1" s="3" t="s">
        <v>270</v>
      </c>
      <c r="C1" s="222" t="s">
        <v>519</v>
      </c>
      <c r="D1" s="3" t="s">
        <v>271</v>
      </c>
      <c r="E1" s="222" t="s">
        <v>520</v>
      </c>
      <c r="F1" s="3" t="s">
        <v>272</v>
      </c>
      <c r="G1" s="222" t="s">
        <v>521</v>
      </c>
      <c r="H1" s="3" t="s">
        <v>273</v>
      </c>
      <c r="I1" s="222" t="s">
        <v>513</v>
      </c>
      <c r="J1" s="222" t="s">
        <v>514</v>
      </c>
      <c r="K1" s="222" t="s">
        <v>522</v>
      </c>
      <c r="L1" s="222" t="s">
        <v>516</v>
      </c>
      <c r="M1" s="3" t="s">
        <v>1</v>
      </c>
    </row>
    <row r="2" spans="1:13" ht="14.4" x14ac:dyDescent="0.3">
      <c r="A2" s="4" t="s">
        <v>307</v>
      </c>
      <c r="B2" s="2" t="s">
        <v>60</v>
      </c>
      <c r="C2" s="2" t="str">
        <f>VLOOKUP(B2,'ATP - Ad Extensions'!$C:$C,1,FALSE)</f>
        <v>About DLBCL</v>
      </c>
      <c r="D2" s="2" t="s">
        <v>274</v>
      </c>
      <c r="E2" s="2" t="str">
        <f>VLOOKUP(D2,'ATP - Ad Extensions'!$E:$E,1,FALSE)</f>
        <v>Learn How DLBCL Develops &amp;</v>
      </c>
      <c r="F2" s="2" t="s">
        <v>275</v>
      </c>
      <c r="G2" s="2" t="str">
        <f>VLOOKUP(F2,'ATP - Ad Extensions'!$G:$G,1,FALSE)</f>
        <v>Understand Treatment Goals.</v>
      </c>
      <c r="H2" s="2" t="s">
        <v>335</v>
      </c>
      <c r="I2" s="2" t="s">
        <v>69</v>
      </c>
      <c r="J2" s="2" t="str">
        <f>VLOOKUP(I2,'ATP - Ad Extensions'!$I:$I,1,FALSE)</f>
        <v>https://www.columvi.com/about/what-is-DLBCL.html</v>
      </c>
      <c r="K2" s="2" t="str">
        <f t="shared" ref="K2:K25" si="0">CONCATENATE(I2,"?c=",M2)</f>
        <v>https://www.columvi.com/about/what-is-DLBCL.html?c=gft-1890321fc12</v>
      </c>
      <c r="L2" s="2" t="b">
        <v>1</v>
      </c>
      <c r="M2" s="2" t="s">
        <v>5</v>
      </c>
    </row>
    <row r="3" spans="1:13" ht="14.4" x14ac:dyDescent="0.3">
      <c r="A3" s="4" t="s">
        <v>307</v>
      </c>
      <c r="B3" s="2" t="s">
        <v>276</v>
      </c>
      <c r="C3" s="2" t="str">
        <f>VLOOKUP(B3,'ATP - Ad Extensions'!$C:$C,1,FALSE)</f>
        <v>Financial Support</v>
      </c>
      <c r="D3" s="246" t="s">
        <v>536</v>
      </c>
      <c r="E3" s="2" t="e">
        <f>VLOOKUP(D3,'ATP - Ad Extensions'!$E:$E,1,FALSE)</f>
        <v>#N/A</v>
      </c>
      <c r="F3" s="2" t="s">
        <v>278</v>
      </c>
      <c r="G3" s="2" t="str">
        <f>VLOOKUP(F3,'ATP - Ad Extensions'!$G:$G,1,FALSE)</f>
        <v>Options &amp; Sign Up For Support.</v>
      </c>
      <c r="H3" s="2" t="s">
        <v>337</v>
      </c>
      <c r="I3" s="2" t="s">
        <v>88</v>
      </c>
      <c r="J3" s="2" t="str">
        <f>VLOOKUP(I3,'ATP - Ad Extensions'!$I:$I,1,FALSE)</f>
        <v>https://www.columvi.com/financial-support/assistance-options.html</v>
      </c>
      <c r="K3" s="2" t="str">
        <f t="shared" si="0"/>
        <v>https://www.columvi.com/financial-support/assistance-options.html?c=gft-1890321fc12</v>
      </c>
      <c r="L3" s="2" t="b">
        <v>1</v>
      </c>
      <c r="M3" s="2" t="s">
        <v>5</v>
      </c>
    </row>
    <row r="4" spans="1:13" ht="14.4" x14ac:dyDescent="0.3">
      <c r="A4" s="4" t="s">
        <v>307</v>
      </c>
      <c r="B4" s="2" t="s">
        <v>279</v>
      </c>
      <c r="C4" s="2" t="str">
        <f>VLOOKUP(B4,'ATP - Ad Extensions'!$C:$C,1,FALSE)</f>
        <v>Patient Support</v>
      </c>
      <c r="D4" s="2" t="s">
        <v>280</v>
      </c>
      <c r="E4" s="2" t="str">
        <f>VLOOKUP(D4,'ATP - Ad Extensions'!$E:$E,1,FALSE)</f>
        <v>Access Questions For Your Doctor</v>
      </c>
      <c r="F4" s="2" t="s">
        <v>281</v>
      </c>
      <c r="G4" s="2" t="str">
        <f>VLOOKUP(F4,'ATP - Ad Extensions'!$G:$G,1,FALSE)</f>
        <v>About A 3L+ DLBCL Infusion Option.</v>
      </c>
      <c r="H4" s="2" t="s">
        <v>342</v>
      </c>
      <c r="I4" s="2" t="s">
        <v>417</v>
      </c>
      <c r="J4" s="2" t="str">
        <f>VLOOKUP(I4,'ATP - Ad Extensions'!$I:$I,1,FALSE)</f>
        <v>https://www.columvi.com/resources/questions-to-ask-your-doctor.html</v>
      </c>
      <c r="K4" s="2" t="str">
        <f t="shared" si="0"/>
        <v>https://www.columvi.com/resources/questions-to-ask-your-doctor.html?c=gft-1890321fc12</v>
      </c>
      <c r="L4" s="2" t="b">
        <v>1</v>
      </c>
      <c r="M4" s="2" t="s">
        <v>5</v>
      </c>
    </row>
    <row r="5" spans="1:13" ht="14.4" x14ac:dyDescent="0.3">
      <c r="A5" s="4" t="s">
        <v>307</v>
      </c>
      <c r="B5" s="2" t="s">
        <v>283</v>
      </c>
      <c r="C5" s="2" t="str">
        <f>VLOOKUP(B5,'ATP - Ad Extensions'!$C:$C,1,FALSE)</f>
        <v>Safety Information</v>
      </c>
      <c r="D5" s="2" t="s">
        <v>284</v>
      </c>
      <c r="E5" s="2" t="str">
        <f>VLOOKUP(D5,'ATP - Ad Extensions'!$E:$E,1,FALSE)</f>
        <v>View Important Safety Information</v>
      </c>
      <c r="F5" s="2" t="s">
        <v>285</v>
      </c>
      <c r="G5" s="2" t="str">
        <f>VLOOKUP(F5,'ATP - Ad Extensions'!$G:$G,1,FALSE)</f>
        <v>For A 3L+ DLBCL Treatment Option.</v>
      </c>
      <c r="H5" s="2" t="s">
        <v>343</v>
      </c>
      <c r="I5" s="2" t="s">
        <v>413</v>
      </c>
      <c r="J5" s="2" t="str">
        <f>VLOOKUP(I5,'ATP - Ad Extensions'!$I:$I,1,FALSE)</f>
        <v>https://www.columvi.com/side-effects/important-safety-information.html</v>
      </c>
      <c r="K5" s="2" t="str">
        <f t="shared" si="0"/>
        <v>https://www.columvi.com/side-effects/important-safety-information.html?c=gft-1890321fc12</v>
      </c>
      <c r="L5" s="2" t="b">
        <v>1</v>
      </c>
      <c r="M5" s="2" t="s">
        <v>5</v>
      </c>
    </row>
    <row r="6" spans="1:13" ht="14.4" x14ac:dyDescent="0.3">
      <c r="A6" s="4" t="s">
        <v>307</v>
      </c>
      <c r="B6" s="2" t="s">
        <v>287</v>
      </c>
      <c r="C6" s="2" t="str">
        <f>VLOOKUP(B6,'ATP - Ad Extensions'!$C:$C,1,FALSE)</f>
        <v>Side Effects</v>
      </c>
      <c r="D6" s="2" t="s">
        <v>288</v>
      </c>
      <c r="E6" s="2" t="str">
        <f>VLOOKUP(D6,'ATP - Ad Extensions'!$E:$E,1,FALSE)</f>
        <v>Review The Possible Side Effects</v>
      </c>
      <c r="F6" s="2" t="s">
        <v>289</v>
      </c>
      <c r="G6" s="2" t="str">
        <f>VLOOKUP(F6,'ATP - Ad Extensions'!$G:$G,1,FALSE)</f>
        <v>For A DLBCL Prescription Medicine.</v>
      </c>
      <c r="H6" s="2" t="s">
        <v>344</v>
      </c>
      <c r="I6" s="2" t="s">
        <v>419</v>
      </c>
      <c r="J6" s="2" t="str">
        <f>VLOOKUP(I6,'ATP - Ad Extensions'!$I:$I,1,FALSE)</f>
        <v>https://www.columvi.com/side-effects/summary.html</v>
      </c>
      <c r="K6" s="2" t="str">
        <f t="shared" si="0"/>
        <v>https://www.columvi.com/side-effects/summary.html?c=gft-1890321fc12</v>
      </c>
      <c r="L6" s="2" t="b">
        <v>1</v>
      </c>
      <c r="M6" s="2" t="s">
        <v>5</v>
      </c>
    </row>
    <row r="7" spans="1:13" ht="14.4" x14ac:dyDescent="0.3">
      <c r="A7" s="4" t="s">
        <v>307</v>
      </c>
      <c r="B7" s="246" t="s">
        <v>537</v>
      </c>
      <c r="C7" s="2" t="e">
        <f>VLOOKUP(B7,'ATP - Ad Extensions'!$C:$C,1,FALSE)</f>
        <v>#N/A</v>
      </c>
      <c r="D7" s="2" t="s">
        <v>292</v>
      </c>
      <c r="E7" s="2" t="str">
        <f>VLOOKUP(D7,'ATP - Ad Extensions'!$E:$E,1,FALSE)</f>
        <v>Download The Patient Brochure To</v>
      </c>
      <c r="F7" s="2" t="s">
        <v>293</v>
      </c>
      <c r="G7" s="2" t="str">
        <f>VLOOKUP(F7,'ATP - Ad Extensions'!$G:$G,1,FALSE)</f>
        <v>Learn More About DLBCL Treatment.</v>
      </c>
      <c r="H7" s="7" t="s">
        <v>345</v>
      </c>
      <c r="I7" s="7" t="s">
        <v>411</v>
      </c>
      <c r="J7" s="7" t="str">
        <f>VLOOKUP(I7,'ATP - Ad Extensions'!$I:$I,1,FALSE)</f>
        <v>https://www.columvi.com/resources/downloads.html</v>
      </c>
      <c r="K7" s="7" t="str">
        <f t="shared" si="0"/>
        <v>https://www.columvi.com/resources/downloads.html?c=gft-1890321fc12</v>
      </c>
      <c r="L7" s="7" t="b">
        <v>1</v>
      </c>
      <c r="M7" s="2" t="s">
        <v>5</v>
      </c>
    </row>
    <row r="8" spans="1:13" ht="14.4" x14ac:dyDescent="0.3">
      <c r="A8" s="4" t="s">
        <v>321</v>
      </c>
      <c r="B8" s="2" t="s">
        <v>60</v>
      </c>
      <c r="C8" s="246" t="s">
        <v>536</v>
      </c>
      <c r="D8" s="2" t="s">
        <v>274</v>
      </c>
      <c r="E8" s="2" t="str">
        <f>VLOOKUP(D8,'ATP - Ad Extensions'!$E:$E,1,FALSE)</f>
        <v>Learn How DLBCL Develops &amp;</v>
      </c>
      <c r="F8" s="2" t="s">
        <v>275</v>
      </c>
      <c r="G8" s="2" t="str">
        <f>VLOOKUP(F8,'ATP - Ad Extensions'!$G:$G,1,FALSE)</f>
        <v>Understand Treatment Goals.</v>
      </c>
      <c r="H8" s="2" t="s">
        <v>335</v>
      </c>
      <c r="I8" s="2" t="s">
        <v>69</v>
      </c>
      <c r="J8" s="2" t="str">
        <f>VLOOKUP(I8,'ATP - Ad Extensions'!$I:$I,1,FALSE)</f>
        <v>https://www.columvi.com/about/what-is-DLBCL.html</v>
      </c>
      <c r="K8" s="2" t="str">
        <f t="shared" si="0"/>
        <v>https://www.columvi.com/about/what-is-DLBCL.html?c=gft-1890321fc12</v>
      </c>
      <c r="L8" s="2" t="b">
        <v>1</v>
      </c>
      <c r="M8" s="2" t="s">
        <v>5</v>
      </c>
    </row>
    <row r="9" spans="1:13" ht="14.4" x14ac:dyDescent="0.3">
      <c r="A9" s="4" t="s">
        <v>321</v>
      </c>
      <c r="B9" s="2" t="s">
        <v>276</v>
      </c>
      <c r="C9" s="2" t="str">
        <f>VLOOKUP(B9,'ATP - Ad Extensions'!$C:$C,1,FALSE)</f>
        <v>Financial Support</v>
      </c>
      <c r="D9" s="2" t="s">
        <v>277</v>
      </c>
      <c r="E9" s="2" t="str">
        <f>VLOOKUP(D9,'ATP - Ad Extensions'!$E:$E,1,FALSE)</f>
        <v>Learn About Financial Assistance</v>
      </c>
      <c r="F9" s="2" t="s">
        <v>278</v>
      </c>
      <c r="G9" s="2" t="str">
        <f>VLOOKUP(F9,'ATP - Ad Extensions'!$G:$G,1,FALSE)</f>
        <v>Options &amp; Sign Up For Support.</v>
      </c>
      <c r="H9" s="2" t="s">
        <v>337</v>
      </c>
      <c r="I9" s="2" t="s">
        <v>88</v>
      </c>
      <c r="J9" s="2" t="str">
        <f>VLOOKUP(I9,'ATP - Ad Extensions'!$I:$I,1,FALSE)</f>
        <v>https://www.columvi.com/financial-support/assistance-options.html</v>
      </c>
      <c r="K9" s="2" t="str">
        <f t="shared" si="0"/>
        <v>https://www.columvi.com/financial-support/assistance-options.html?c=gft-1890321fc12</v>
      </c>
      <c r="L9" s="2" t="b">
        <v>1</v>
      </c>
      <c r="M9" s="2" t="s">
        <v>5</v>
      </c>
    </row>
    <row r="10" spans="1:13" ht="14.4" x14ac:dyDescent="0.3">
      <c r="A10" s="4" t="s">
        <v>321</v>
      </c>
      <c r="B10" s="2" t="s">
        <v>279</v>
      </c>
      <c r="C10" s="2" t="str">
        <f>VLOOKUP(B10,'ATP - Ad Extensions'!$C:$C,1,FALSE)</f>
        <v>Patient Support</v>
      </c>
      <c r="D10" s="246" t="s">
        <v>536</v>
      </c>
      <c r="E10" s="2" t="e">
        <f>VLOOKUP(D10,'ATP - Ad Extensions'!$E:$E,1,FALSE)</f>
        <v>#N/A</v>
      </c>
      <c r="F10" s="2" t="s">
        <v>281</v>
      </c>
      <c r="G10" s="2" t="str">
        <f>VLOOKUP(F10,'ATP - Ad Extensions'!$G:$G,1,FALSE)</f>
        <v>About A 3L+ DLBCL Infusion Option.</v>
      </c>
      <c r="H10" s="2" t="s">
        <v>342</v>
      </c>
      <c r="I10" s="2" t="s">
        <v>417</v>
      </c>
      <c r="J10" s="2" t="str">
        <f>VLOOKUP(I10,'ATP - Ad Extensions'!$I:$I,1,FALSE)</f>
        <v>https://www.columvi.com/resources/questions-to-ask-your-doctor.html</v>
      </c>
      <c r="K10" s="2" t="str">
        <f t="shared" si="0"/>
        <v>https://www.columvi.com/resources/questions-to-ask-your-doctor.html?c=gft-1890321fc12</v>
      </c>
      <c r="L10" s="2" t="b">
        <v>1</v>
      </c>
      <c r="M10" s="2" t="s">
        <v>5</v>
      </c>
    </row>
    <row r="11" spans="1:13" ht="14.4" x14ac:dyDescent="0.3">
      <c r="A11" s="4" t="s">
        <v>321</v>
      </c>
      <c r="B11" s="2" t="s">
        <v>283</v>
      </c>
      <c r="C11" s="2" t="str">
        <f>VLOOKUP(B11,'ATP - Ad Extensions'!$C:$C,1,FALSE)</f>
        <v>Safety Information</v>
      </c>
      <c r="D11" s="2" t="s">
        <v>284</v>
      </c>
      <c r="E11" s="2" t="str">
        <f>VLOOKUP(D11,'ATP - Ad Extensions'!$E:$E,1,FALSE)</f>
        <v>View Important Safety Information</v>
      </c>
      <c r="F11" s="2" t="s">
        <v>285</v>
      </c>
      <c r="G11" s="2" t="str">
        <f>VLOOKUP(F11,'ATP - Ad Extensions'!$G:$G,1,FALSE)</f>
        <v>For A 3L+ DLBCL Treatment Option.</v>
      </c>
      <c r="H11" s="2" t="s">
        <v>343</v>
      </c>
      <c r="I11" s="246" t="s">
        <v>529</v>
      </c>
      <c r="J11" s="2" t="e">
        <f>VLOOKUP(I11,'ATP - Ad Extensions'!$I:$I,1,FALSE)</f>
        <v>#N/A</v>
      </c>
      <c r="K11" s="2" t="str">
        <f t="shared" si="0"/>
        <v>d?c=gft-1890321fc12</v>
      </c>
      <c r="L11" s="2" t="b">
        <v>1</v>
      </c>
      <c r="M11" s="2" t="s">
        <v>5</v>
      </c>
    </row>
    <row r="12" spans="1:13" ht="14.4" x14ac:dyDescent="0.3">
      <c r="A12" s="4" t="s">
        <v>321</v>
      </c>
      <c r="B12" s="246" t="s">
        <v>537</v>
      </c>
      <c r="C12" s="2" t="e">
        <f>VLOOKUP(B12,'ATP - Ad Extensions'!$C:$C,1,FALSE)</f>
        <v>#N/A</v>
      </c>
      <c r="D12" s="246" t="s">
        <v>292</v>
      </c>
      <c r="E12" s="2" t="str">
        <f>VLOOKUP(D12,'ATP - Ad Extensions'!$E:$E,1,FALSE)</f>
        <v>Download The Patient Brochure To</v>
      </c>
      <c r="F12" s="2" t="s">
        <v>289</v>
      </c>
      <c r="G12" s="2" t="str">
        <f>VLOOKUP(F12,'ATP - Ad Extensions'!$G:$G,1,FALSE)</f>
        <v>For A DLBCL Prescription Medicine.</v>
      </c>
      <c r="H12" s="2" t="s">
        <v>344</v>
      </c>
      <c r="I12" s="2" t="s">
        <v>419</v>
      </c>
      <c r="J12" s="2" t="str">
        <f>VLOOKUP(I12,'ATP - Ad Extensions'!$I:$I,1,FALSE)</f>
        <v>https://www.columvi.com/side-effects/summary.html</v>
      </c>
      <c r="K12" s="2" t="str">
        <f t="shared" si="0"/>
        <v>https://www.columvi.com/side-effects/summary.html?c=gft-1890321fc12</v>
      </c>
      <c r="L12" s="2" t="b">
        <v>1</v>
      </c>
      <c r="M12" s="2" t="s">
        <v>5</v>
      </c>
    </row>
    <row r="13" spans="1:13" ht="14.4" x14ac:dyDescent="0.3">
      <c r="A13" s="4" t="s">
        <v>321</v>
      </c>
      <c r="B13" s="2" t="s">
        <v>291</v>
      </c>
      <c r="C13" s="246" t="s">
        <v>536</v>
      </c>
      <c r="D13" s="246" t="s">
        <v>292</v>
      </c>
      <c r="E13" s="2" t="str">
        <f>VLOOKUP(D13,'ATP - Ad Extensions'!$E:$E,1,FALSE)</f>
        <v>Download The Patient Brochure To</v>
      </c>
      <c r="F13" s="2" t="s">
        <v>293</v>
      </c>
      <c r="G13" s="2" t="str">
        <f>VLOOKUP(F13,'ATP - Ad Extensions'!$G:$G,1,FALSE)</f>
        <v>Learn More About DLBCL Treatment.</v>
      </c>
      <c r="H13" s="7" t="s">
        <v>345</v>
      </c>
      <c r="I13" s="7" t="s">
        <v>411</v>
      </c>
      <c r="J13" s="7" t="str">
        <f>VLOOKUP(I13,'ATP - Ad Extensions'!$I:$I,1,FALSE)</f>
        <v>https://www.columvi.com/resources/downloads.html</v>
      </c>
      <c r="K13" s="7" t="str">
        <f t="shared" si="0"/>
        <v>https://www.columvi.com/resources/downloads.html?c=gft-1890321fc12</v>
      </c>
      <c r="L13" s="7" t="b">
        <v>1</v>
      </c>
      <c r="M13" s="2" t="s">
        <v>5</v>
      </c>
    </row>
    <row r="14" spans="1:13" ht="14.4" x14ac:dyDescent="0.3">
      <c r="A14" s="4" t="s">
        <v>315</v>
      </c>
      <c r="B14" s="2" t="s">
        <v>60</v>
      </c>
      <c r="C14" s="2" t="str">
        <f>VLOOKUP(B14,'ATP - Ad Extensions'!$C:$C,1,FALSE)</f>
        <v>About DLBCL</v>
      </c>
      <c r="D14" s="2" t="s">
        <v>274</v>
      </c>
      <c r="E14" s="2" t="str">
        <f>VLOOKUP(D14,'ATP - Ad Extensions'!$E:$E,1,FALSE)</f>
        <v>Learn How DLBCL Develops &amp;</v>
      </c>
      <c r="F14" s="2" t="s">
        <v>275</v>
      </c>
      <c r="G14" s="2" t="str">
        <f>VLOOKUP(F14,'ATP - Ad Extensions'!$G:$G,1,FALSE)</f>
        <v>Understand Treatment Goals.</v>
      </c>
      <c r="H14" s="2" t="s">
        <v>335</v>
      </c>
      <c r="I14" s="2" t="s">
        <v>69</v>
      </c>
      <c r="J14" s="2" t="str">
        <f>VLOOKUP(I14,'ATP - Ad Extensions'!$I:$I,1,FALSE)</f>
        <v>https://www.columvi.com/about/what-is-DLBCL.html</v>
      </c>
      <c r="K14" s="2" t="str">
        <f t="shared" si="0"/>
        <v>https://www.columvi.com/about/what-is-DLBCL.html?c=gft-1890321fc12</v>
      </c>
      <c r="L14" s="2" t="b">
        <v>1</v>
      </c>
      <c r="M14" s="2" t="s">
        <v>5</v>
      </c>
    </row>
    <row r="15" spans="1:13" ht="14.4" x14ac:dyDescent="0.3">
      <c r="A15" s="4" t="s">
        <v>315</v>
      </c>
      <c r="B15" s="2" t="s">
        <v>276</v>
      </c>
      <c r="C15" s="2" t="str">
        <f>VLOOKUP(B15,'ATP - Ad Extensions'!$C:$C,1,FALSE)</f>
        <v>Financial Support</v>
      </c>
      <c r="D15" s="2" t="s">
        <v>277</v>
      </c>
      <c r="E15" s="2" t="str">
        <f>VLOOKUP(D15,'ATP - Ad Extensions'!$E:$E,1,FALSE)</f>
        <v>Learn About Financial Assistance</v>
      </c>
      <c r="F15" s="2" t="s">
        <v>278</v>
      </c>
      <c r="G15" s="2" t="str">
        <f>VLOOKUP(F15,'ATP - Ad Extensions'!$G:$G,1,FALSE)</f>
        <v>Options &amp; Sign Up For Support.</v>
      </c>
      <c r="H15" s="2" t="s">
        <v>337</v>
      </c>
      <c r="I15" s="246" t="s">
        <v>529</v>
      </c>
      <c r="J15" s="2" t="e">
        <f>VLOOKUP(I15,'ATP - Ad Extensions'!$I:$I,1,FALSE)</f>
        <v>#N/A</v>
      </c>
      <c r="K15" s="2" t="str">
        <f t="shared" si="0"/>
        <v>d?c=gft-1890321fc12</v>
      </c>
      <c r="L15" s="2" t="b">
        <v>1</v>
      </c>
      <c r="M15" s="2" t="s">
        <v>5</v>
      </c>
    </row>
    <row r="16" spans="1:13" ht="14.4" x14ac:dyDescent="0.3">
      <c r="A16" s="4" t="s">
        <v>315</v>
      </c>
      <c r="B16" s="246" t="s">
        <v>537</v>
      </c>
      <c r="C16" s="2" t="e">
        <f>VLOOKUP(B16,'ATP - Ad Extensions'!$C:$C,1,FALSE)</f>
        <v>#N/A</v>
      </c>
      <c r="D16" s="246" t="s">
        <v>535</v>
      </c>
      <c r="E16" s="2" t="e">
        <f>VLOOKUP(D16,'ATP - Ad Extensions'!$E:$E,1,FALSE)</f>
        <v>#N/A</v>
      </c>
      <c r="F16" s="2" t="s">
        <v>281</v>
      </c>
      <c r="G16" s="2" t="str">
        <f>VLOOKUP(F16,'ATP - Ad Extensions'!$G:$G,1,FALSE)</f>
        <v>About A 3L+ DLBCL Infusion Option.</v>
      </c>
      <c r="H16" s="2" t="s">
        <v>342</v>
      </c>
      <c r="I16" s="231" t="s">
        <v>534</v>
      </c>
      <c r="J16" s="2" t="e">
        <f>VLOOKUP(I16,'ATP - Ad Extensions'!$I:$I,1,FALSE)</f>
        <v>#N/A</v>
      </c>
      <c r="K16" s="2" t="str">
        <f t="shared" si="0"/>
        <v>https://www.columvi.com/resources/question  s-to-ask-your-doctor.html?c=gft-1890321fc12</v>
      </c>
      <c r="L16" s="2" t="b">
        <v>1</v>
      </c>
      <c r="M16" s="2" t="s">
        <v>5</v>
      </c>
    </row>
    <row r="17" spans="1:13" ht="14.4" x14ac:dyDescent="0.3">
      <c r="A17" s="4" t="s">
        <v>315</v>
      </c>
      <c r="B17" s="2" t="s">
        <v>283</v>
      </c>
      <c r="C17" s="2" t="str">
        <f>VLOOKUP(B17,'ATP - Ad Extensions'!$C:$C,1,FALSE)</f>
        <v>Safety Information</v>
      </c>
      <c r="D17" s="2" t="s">
        <v>284</v>
      </c>
      <c r="E17" s="2" t="str">
        <f>VLOOKUP(D17,'ATP - Ad Extensions'!$E:$E,1,FALSE)</f>
        <v>View Important Safety Information</v>
      </c>
      <c r="F17" s="2" t="s">
        <v>285</v>
      </c>
      <c r="G17" s="2" t="str">
        <f>VLOOKUP(F17,'ATP - Ad Extensions'!$G:$G,1,FALSE)</f>
        <v>For A 3L+ DLBCL Treatment Option.</v>
      </c>
      <c r="H17" s="2" t="s">
        <v>343</v>
      </c>
      <c r="I17" s="2" t="s">
        <v>413</v>
      </c>
      <c r="J17" s="2" t="str">
        <f>VLOOKUP(I17,'ATP - Ad Extensions'!$I:$I,1,FALSE)</f>
        <v>https://www.columvi.com/side-effects/important-safety-information.html</v>
      </c>
      <c r="K17" s="2" t="str">
        <f t="shared" si="0"/>
        <v>https://www.columvi.com/side-effects/important-safety-information.html?c=gft-1890321fc12</v>
      </c>
      <c r="L17" s="2" t="b">
        <v>1</v>
      </c>
      <c r="M17" s="2" t="s">
        <v>5</v>
      </c>
    </row>
    <row r="18" spans="1:13" ht="14.4" x14ac:dyDescent="0.3">
      <c r="A18" s="4" t="s">
        <v>315</v>
      </c>
      <c r="B18" s="2" t="s">
        <v>287</v>
      </c>
      <c r="C18" s="2" t="str">
        <f>VLOOKUP(B18,'ATP - Ad Extensions'!$C:$C,1,FALSE)</f>
        <v>Side Effects</v>
      </c>
      <c r="D18" s="2" t="s">
        <v>288</v>
      </c>
      <c r="E18" s="2" t="str">
        <f>VLOOKUP(D18,'ATP - Ad Extensions'!$E:$E,1,FALSE)</f>
        <v>Review The Possible Side Effects</v>
      </c>
      <c r="F18" s="2" t="s">
        <v>289</v>
      </c>
      <c r="G18" s="2" t="str">
        <f>VLOOKUP(F18,'ATP - Ad Extensions'!$G:$G,1,FALSE)</f>
        <v>For A DLBCL Prescription Medicine.</v>
      </c>
      <c r="H18" s="2" t="s">
        <v>344</v>
      </c>
      <c r="I18" s="2" t="s">
        <v>419</v>
      </c>
      <c r="J18" s="2" t="str">
        <f>VLOOKUP(I18,'ATP - Ad Extensions'!$I:$I,1,FALSE)</f>
        <v>https://www.columvi.com/side-effects/summary.html</v>
      </c>
      <c r="K18" s="2" t="str">
        <f t="shared" si="0"/>
        <v>https://www.columvi.com/side-effects/summary.html?c=gft-1890321fc12</v>
      </c>
      <c r="L18" s="2" t="b">
        <v>1</v>
      </c>
      <c r="M18" s="2" t="s">
        <v>5</v>
      </c>
    </row>
    <row r="19" spans="1:13" ht="14.4" x14ac:dyDescent="0.3">
      <c r="A19" s="4" t="s">
        <v>315</v>
      </c>
      <c r="B19" s="2" t="s">
        <v>291</v>
      </c>
      <c r="C19" s="246" t="s">
        <v>536</v>
      </c>
      <c r="D19" s="2" t="s">
        <v>292</v>
      </c>
      <c r="E19" s="2" t="str">
        <f>VLOOKUP(D19,'ATP - Ad Extensions'!$E:$E,1,FALSE)</f>
        <v>Download The Patient Brochure To</v>
      </c>
      <c r="F19" s="2" t="s">
        <v>293</v>
      </c>
      <c r="G19" s="2" t="str">
        <f>VLOOKUP(F19,'ATP - Ad Extensions'!$G:$G,1,FALSE)</f>
        <v>Learn More About DLBCL Treatment.</v>
      </c>
      <c r="H19" s="7" t="s">
        <v>345</v>
      </c>
      <c r="I19" s="7" t="s">
        <v>411</v>
      </c>
      <c r="J19" s="7" t="str">
        <f>VLOOKUP(I19,'ATP - Ad Extensions'!$I:$I,1,FALSE)</f>
        <v>https://www.columvi.com/resources/downloads.html</v>
      </c>
      <c r="K19" s="7" t="str">
        <f t="shared" si="0"/>
        <v>https://www.columvi.com/resources/downloads.html?c=gft-1890321fc12</v>
      </c>
      <c r="L19" s="7" t="b">
        <v>1</v>
      </c>
      <c r="M19" s="2" t="s">
        <v>5</v>
      </c>
    </row>
    <row r="20" spans="1:13" ht="14.4" x14ac:dyDescent="0.3">
      <c r="A20" s="4" t="s">
        <v>328</v>
      </c>
      <c r="B20" s="2" t="s">
        <v>60</v>
      </c>
      <c r="C20" s="2" t="str">
        <f>VLOOKUP(B20,'ATP - Ad Extensions'!$C:$C,1,FALSE)</f>
        <v>About DLBCL</v>
      </c>
      <c r="D20" s="2" t="s">
        <v>274</v>
      </c>
      <c r="E20" s="2" t="str">
        <f>VLOOKUP(D20,'ATP - Ad Extensions'!$E:$E,1,FALSE)</f>
        <v>Learn How DLBCL Develops &amp;</v>
      </c>
      <c r="F20" s="2" t="s">
        <v>275</v>
      </c>
      <c r="G20" s="2" t="str">
        <f>VLOOKUP(F20,'ATP - Ad Extensions'!$G:$G,1,FALSE)</f>
        <v>Understand Treatment Goals.</v>
      </c>
      <c r="H20" s="2" t="s">
        <v>335</v>
      </c>
      <c r="I20" s="2" t="s">
        <v>69</v>
      </c>
      <c r="J20" s="2" t="str">
        <f>VLOOKUP(I20,'ATP - Ad Extensions'!$I:$I,1,FALSE)</f>
        <v>https://www.columvi.com/about/what-is-DLBCL.html</v>
      </c>
      <c r="K20" s="2" t="str">
        <f t="shared" si="0"/>
        <v>https://www.columvi.com/about/what-is-DLBCL.html?c=gft-1890321fc12</v>
      </c>
      <c r="L20" s="2" t="b">
        <v>1</v>
      </c>
      <c r="M20" s="2" t="s">
        <v>5</v>
      </c>
    </row>
    <row r="21" spans="1:13" ht="15.75" customHeight="1" x14ac:dyDescent="0.3">
      <c r="A21" s="4" t="s">
        <v>328</v>
      </c>
      <c r="B21" s="2" t="s">
        <v>276</v>
      </c>
      <c r="C21" s="2" t="str">
        <f>VLOOKUP(B21,'ATP - Ad Extensions'!$C:$C,1,FALSE)</f>
        <v>Financial Support</v>
      </c>
      <c r="D21" s="2" t="s">
        <v>277</v>
      </c>
      <c r="E21" s="2" t="str">
        <f>VLOOKUP(D21,'ATP - Ad Extensions'!$E:$E,1,FALSE)</f>
        <v>Learn About Financial Assistance</v>
      </c>
      <c r="F21" s="2" t="s">
        <v>278</v>
      </c>
      <c r="G21" s="2" t="str">
        <f>VLOOKUP(F21,'ATP - Ad Extensions'!$G:$G,1,FALSE)</f>
        <v>Options &amp; Sign Up For Support.</v>
      </c>
      <c r="H21" s="2" t="s">
        <v>337</v>
      </c>
      <c r="I21" s="2" t="s">
        <v>88</v>
      </c>
      <c r="J21" s="2" t="str">
        <f>VLOOKUP(I21,'ATP - Ad Extensions'!$I:$I,1,FALSE)</f>
        <v>https://www.columvi.com/financial-support/assistance-options.html</v>
      </c>
      <c r="K21" s="2" t="str">
        <f t="shared" si="0"/>
        <v>https://www.columvi.com/financial-support/assistance-options.html?c=gft-1890321fc12</v>
      </c>
      <c r="L21" s="2" t="b">
        <v>1</v>
      </c>
      <c r="M21" s="2" t="s">
        <v>5</v>
      </c>
    </row>
    <row r="22" spans="1:13" ht="15.75" customHeight="1" x14ac:dyDescent="0.3">
      <c r="A22" s="4" t="s">
        <v>328</v>
      </c>
      <c r="B22" s="2" t="s">
        <v>279</v>
      </c>
      <c r="C22" s="2" t="str">
        <f>VLOOKUP(B22,'ATP - Ad Extensions'!$C:$C,1,FALSE)</f>
        <v>Patient Support</v>
      </c>
      <c r="D22" s="2" t="s">
        <v>280</v>
      </c>
      <c r="E22" s="2" t="str">
        <f>VLOOKUP(D22,'ATP - Ad Extensions'!$E:$E,1,FALSE)</f>
        <v>Access Questions For Your Doctor</v>
      </c>
      <c r="F22" s="2" t="s">
        <v>281</v>
      </c>
      <c r="G22" s="2" t="str">
        <f>VLOOKUP(F22,'ATP - Ad Extensions'!$G:$G,1,FALSE)</f>
        <v>About A 3L+ DLBCL Infusion Option.</v>
      </c>
      <c r="H22" s="2" t="s">
        <v>342</v>
      </c>
      <c r="I22" s="2" t="s">
        <v>417</v>
      </c>
      <c r="J22" s="2" t="str">
        <f>VLOOKUP(I22,'ATP - Ad Extensions'!$I:$I,1,FALSE)</f>
        <v>https://www.columvi.com/resources/questions-to-ask-your-doctor.html</v>
      </c>
      <c r="K22" s="2" t="str">
        <f t="shared" si="0"/>
        <v>https://www.columvi.com/resources/questions-to-ask-your-doctor.html?c=gft-1890321fc12</v>
      </c>
      <c r="L22" s="2" t="b">
        <v>1</v>
      </c>
      <c r="M22" s="2" t="s">
        <v>5</v>
      </c>
    </row>
    <row r="23" spans="1:13" ht="15.75" customHeight="1" x14ac:dyDescent="0.3">
      <c r="A23" s="4" t="s">
        <v>328</v>
      </c>
      <c r="B23" s="2" t="s">
        <v>283</v>
      </c>
      <c r="C23" s="2" t="str">
        <f>VLOOKUP(B23,'ATP - Ad Extensions'!$C:$C,1,FALSE)</f>
        <v>Safety Information</v>
      </c>
      <c r="D23" s="2" t="s">
        <v>284</v>
      </c>
      <c r="E23" s="2" t="str">
        <f>VLOOKUP(D23,'ATP - Ad Extensions'!$E:$E,1,FALSE)</f>
        <v>View Important Safety Information</v>
      </c>
      <c r="F23" s="2" t="s">
        <v>285</v>
      </c>
      <c r="G23" s="2" t="str">
        <f>VLOOKUP(F23,'ATP - Ad Extensions'!$G:$G,1,FALSE)</f>
        <v>For A 3L+ DLBCL Treatment Option.</v>
      </c>
      <c r="H23" s="2" t="s">
        <v>343</v>
      </c>
      <c r="I23" s="2" t="s">
        <v>413</v>
      </c>
      <c r="J23" s="2" t="str">
        <f>VLOOKUP(I23,'ATP - Ad Extensions'!$I:$I,1,FALSE)</f>
        <v>https://www.columvi.com/side-effects/important-safety-information.html</v>
      </c>
      <c r="K23" s="2" t="str">
        <f t="shared" si="0"/>
        <v>https://www.columvi.com/side-effects/important-safety-information.html?c=gft-1890321fc12</v>
      </c>
      <c r="L23" s="2" t="b">
        <v>1</v>
      </c>
      <c r="M23" s="2" t="s">
        <v>5</v>
      </c>
    </row>
    <row r="24" spans="1:13" ht="15.75" customHeight="1" x14ac:dyDescent="0.3">
      <c r="A24" s="4" t="s">
        <v>328</v>
      </c>
      <c r="B24" s="2" t="s">
        <v>287</v>
      </c>
      <c r="C24" s="2" t="str">
        <f>VLOOKUP(B24,'ATP - Ad Extensions'!$C:$C,1,FALSE)</f>
        <v>Side Effects</v>
      </c>
      <c r="D24" s="2" t="s">
        <v>288</v>
      </c>
      <c r="E24" s="2" t="str">
        <f>VLOOKUP(D24,'ATP - Ad Extensions'!$E:$E,1,FALSE)</f>
        <v>Review The Possible Side Effects</v>
      </c>
      <c r="F24" s="2" t="s">
        <v>289</v>
      </c>
      <c r="G24" s="2" t="str">
        <f>VLOOKUP(F24,'ATP - Ad Extensions'!$G:$G,1,FALSE)</f>
        <v>For A DLBCL Prescription Medicine.</v>
      </c>
      <c r="H24" s="2" t="s">
        <v>344</v>
      </c>
      <c r="I24" s="2" t="s">
        <v>419</v>
      </c>
      <c r="J24" s="2" t="str">
        <f>VLOOKUP(I24,'ATP - Ad Extensions'!$I:$I,1,FALSE)</f>
        <v>https://www.columvi.com/side-effects/summary.html</v>
      </c>
      <c r="K24" s="2" t="str">
        <f t="shared" si="0"/>
        <v>https://www.columvi.com/side-effects/summary.html?c=gft-1890321fc12</v>
      </c>
      <c r="L24" s="2" t="b">
        <v>1</v>
      </c>
      <c r="M24" s="2" t="s">
        <v>5</v>
      </c>
    </row>
    <row r="25" spans="1:13" ht="15.75" customHeight="1" x14ac:dyDescent="0.3">
      <c r="A25" s="4" t="s">
        <v>328</v>
      </c>
      <c r="B25" s="2" t="s">
        <v>291</v>
      </c>
      <c r="C25" s="2" t="str">
        <f>VLOOKUP(B25,'ATP - Ad Extensions'!$C:$C,1,FALSE)</f>
        <v>Starting Treatment</v>
      </c>
      <c r="D25" s="2" t="s">
        <v>292</v>
      </c>
      <c r="E25" s="2" t="str">
        <f>VLOOKUP(D25,'ATP - Ad Extensions'!$E:$E,1,FALSE)</f>
        <v>Download The Patient Brochure To</v>
      </c>
      <c r="F25" s="2" t="s">
        <v>293</v>
      </c>
      <c r="G25" s="2" t="str">
        <f>VLOOKUP(F25,'ATP - Ad Extensions'!$G:$G,1,FALSE)</f>
        <v>Learn More About DLBCL Treatment.</v>
      </c>
      <c r="H25" s="7" t="s">
        <v>345</v>
      </c>
      <c r="I25" s="7" t="s">
        <v>411</v>
      </c>
      <c r="J25" s="7" t="str">
        <f>VLOOKUP(I25,'ATP - Ad Extensions'!$I:$I,1,FALSE)</f>
        <v>https://www.columvi.com/resources/downloads.html</v>
      </c>
      <c r="K25" s="7" t="str">
        <f t="shared" si="0"/>
        <v>https://www.columvi.com/resources/downloads.html?c=gft-1890321fc12</v>
      </c>
      <c r="L25" s="7" t="b">
        <v>1</v>
      </c>
      <c r="M25" s="2" t="s">
        <v>5</v>
      </c>
    </row>
  </sheetData>
  <hyperlinks>
    <hyperlink ref="H7" r:id="rId1" xr:uid="{00000000-0004-0000-0800-000000000000}"/>
    <hyperlink ref="H13" r:id="rId2" xr:uid="{00000000-0004-0000-0800-000001000000}"/>
    <hyperlink ref="H19" r:id="rId3" xr:uid="{00000000-0004-0000-0800-000002000000}"/>
    <hyperlink ref="H25" r:id="rId4" xr:uid="{00000000-0004-0000-0800-000003000000}"/>
    <hyperlink ref="I16" r:id="rId5" xr:uid="{E852B4EE-6116-4C46-901D-3EF1EC21B56E}"/>
  </hyperlink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B25"/>
  <sheetViews>
    <sheetView workbookViewId="0">
      <selection activeCell="C1" sqref="C1"/>
    </sheetView>
  </sheetViews>
  <sheetFormatPr defaultColWidth="12.6640625" defaultRowHeight="15" customHeight="1" x14ac:dyDescent="0.3"/>
  <cols>
    <col min="1" max="1" width="109.88671875" customWidth="1"/>
    <col min="2" max="2" width="24.33203125" customWidth="1"/>
    <col min="3" max="25" width="8.6640625" customWidth="1"/>
  </cols>
  <sheetData>
    <row r="1" spans="1:2" ht="14.4" x14ac:dyDescent="0.3">
      <c r="A1" s="3" t="s">
        <v>7</v>
      </c>
      <c r="B1" s="3" t="s">
        <v>295</v>
      </c>
    </row>
    <row r="2" spans="1:2" ht="14.4" x14ac:dyDescent="0.3">
      <c r="A2" s="4" t="s">
        <v>47</v>
      </c>
      <c r="B2" s="220" t="s">
        <v>465</v>
      </c>
    </row>
    <row r="3" spans="1:2" ht="14.4" x14ac:dyDescent="0.3">
      <c r="A3" s="4" t="s">
        <v>47</v>
      </c>
      <c r="B3" s="220" t="s">
        <v>466</v>
      </c>
    </row>
    <row r="4" spans="1:2" ht="14.4" x14ac:dyDescent="0.3">
      <c r="A4" s="4" t="s">
        <v>47</v>
      </c>
      <c r="B4" s="2" t="s">
        <v>298</v>
      </c>
    </row>
    <row r="5" spans="1:2" ht="14.4" x14ac:dyDescent="0.3">
      <c r="A5" s="4" t="s">
        <v>47</v>
      </c>
      <c r="B5" s="2" t="s">
        <v>299</v>
      </c>
    </row>
    <row r="6" spans="1:2" ht="14.4" x14ac:dyDescent="0.3">
      <c r="A6" s="4" t="s">
        <v>47</v>
      </c>
      <c r="B6" s="2" t="s">
        <v>300</v>
      </c>
    </row>
    <row r="7" spans="1:2" ht="14.4" x14ac:dyDescent="0.3">
      <c r="A7" s="4" t="s">
        <v>47</v>
      </c>
      <c r="B7" s="2" t="s">
        <v>301</v>
      </c>
    </row>
    <row r="8" spans="1:2" ht="14.4" x14ac:dyDescent="0.3">
      <c r="A8" s="4" t="s">
        <v>114</v>
      </c>
      <c r="B8" s="2" t="s">
        <v>296</v>
      </c>
    </row>
    <row r="9" spans="1:2" ht="14.4" x14ac:dyDescent="0.3">
      <c r="A9" s="4" t="s">
        <v>114</v>
      </c>
      <c r="B9" s="2" t="s">
        <v>297</v>
      </c>
    </row>
    <row r="10" spans="1:2" ht="14.4" x14ac:dyDescent="0.3">
      <c r="A10" s="4" t="s">
        <v>114</v>
      </c>
      <c r="B10" s="2" t="s">
        <v>298</v>
      </c>
    </row>
    <row r="11" spans="1:2" ht="14.4" x14ac:dyDescent="0.3">
      <c r="A11" s="4" t="s">
        <v>114</v>
      </c>
      <c r="B11" s="2" t="s">
        <v>299</v>
      </c>
    </row>
    <row r="12" spans="1:2" ht="14.4" x14ac:dyDescent="0.3">
      <c r="A12" s="4" t="s">
        <v>114</v>
      </c>
      <c r="B12" s="2" t="s">
        <v>300</v>
      </c>
    </row>
    <row r="13" spans="1:2" ht="14.4" x14ac:dyDescent="0.3">
      <c r="A13" s="4" t="s">
        <v>114</v>
      </c>
      <c r="B13" s="2" t="s">
        <v>301</v>
      </c>
    </row>
    <row r="14" spans="1:2" ht="14.4" x14ac:dyDescent="0.3">
      <c r="A14" s="4" t="s">
        <v>93</v>
      </c>
      <c r="B14" s="2" t="s">
        <v>296</v>
      </c>
    </row>
    <row r="15" spans="1:2" ht="14.4" x14ac:dyDescent="0.3">
      <c r="A15" s="4" t="s">
        <v>93</v>
      </c>
      <c r="B15" s="2" t="s">
        <v>297</v>
      </c>
    </row>
    <row r="16" spans="1:2" ht="14.4" x14ac:dyDescent="0.3">
      <c r="A16" s="4" t="s">
        <v>93</v>
      </c>
      <c r="B16" s="2" t="s">
        <v>298</v>
      </c>
    </row>
    <row r="17" spans="1:2" ht="14.4" x14ac:dyDescent="0.3">
      <c r="A17" s="4" t="s">
        <v>93</v>
      </c>
      <c r="B17" s="2" t="s">
        <v>299</v>
      </c>
    </row>
    <row r="18" spans="1:2" ht="14.4" x14ac:dyDescent="0.3">
      <c r="A18" s="4" t="s">
        <v>93</v>
      </c>
      <c r="B18" s="2" t="s">
        <v>300</v>
      </c>
    </row>
    <row r="19" spans="1:2" ht="14.4" x14ac:dyDescent="0.3">
      <c r="A19" s="4" t="s">
        <v>93</v>
      </c>
      <c r="B19" s="2" t="s">
        <v>301</v>
      </c>
    </row>
    <row r="20" spans="1:2" ht="14.4" x14ac:dyDescent="0.3">
      <c r="A20" s="4" t="s">
        <v>121</v>
      </c>
      <c r="B20" s="2" t="s">
        <v>296</v>
      </c>
    </row>
    <row r="21" spans="1:2" ht="15.75" customHeight="1" x14ac:dyDescent="0.3">
      <c r="A21" s="4" t="s">
        <v>121</v>
      </c>
      <c r="B21" s="2" t="s">
        <v>297</v>
      </c>
    </row>
    <row r="22" spans="1:2" ht="15.75" customHeight="1" x14ac:dyDescent="0.3">
      <c r="A22" s="4" t="s">
        <v>121</v>
      </c>
      <c r="B22" s="2" t="s">
        <v>298</v>
      </c>
    </row>
    <row r="23" spans="1:2" ht="15.75" customHeight="1" x14ac:dyDescent="0.3">
      <c r="A23" s="4" t="s">
        <v>121</v>
      </c>
      <c r="B23" s="2" t="s">
        <v>299</v>
      </c>
    </row>
    <row r="24" spans="1:2" ht="15.75" customHeight="1" x14ac:dyDescent="0.3">
      <c r="A24" s="4" t="s">
        <v>121</v>
      </c>
      <c r="B24" s="2" t="s">
        <v>300</v>
      </c>
    </row>
    <row r="25" spans="1:2" ht="15.75" customHeight="1" x14ac:dyDescent="0.3">
      <c r="A25" s="4" t="s">
        <v>121</v>
      </c>
      <c r="B25" s="2" t="s">
        <v>301</v>
      </c>
    </row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B25"/>
  <sheetViews>
    <sheetView workbookViewId="0">
      <selection activeCell="A6" sqref="A6"/>
    </sheetView>
  </sheetViews>
  <sheetFormatPr defaultColWidth="12.6640625" defaultRowHeight="15" customHeight="1" x14ac:dyDescent="0.3"/>
  <cols>
    <col min="1" max="1" width="116.77734375" customWidth="1"/>
    <col min="2" max="2" width="26" customWidth="1"/>
    <col min="3" max="25" width="8.6640625" customWidth="1"/>
  </cols>
  <sheetData>
    <row r="1" spans="1:2" ht="14.4" x14ac:dyDescent="0.3">
      <c r="A1" s="3" t="s">
        <v>7</v>
      </c>
      <c r="B1" s="3" t="s">
        <v>346</v>
      </c>
    </row>
    <row r="2" spans="1:2" ht="14.4" x14ac:dyDescent="0.3">
      <c r="A2" s="4" t="s">
        <v>307</v>
      </c>
      <c r="B2" s="2" t="s">
        <v>296</v>
      </c>
    </row>
    <row r="3" spans="1:2" ht="14.4" x14ac:dyDescent="0.3">
      <c r="A3" s="4" t="s">
        <v>307</v>
      </c>
      <c r="B3" s="2" t="s">
        <v>297</v>
      </c>
    </row>
    <row r="4" spans="1:2" ht="14.4" x14ac:dyDescent="0.3">
      <c r="A4" s="4" t="s">
        <v>307</v>
      </c>
      <c r="B4" s="2" t="s">
        <v>298</v>
      </c>
    </row>
    <row r="5" spans="1:2" ht="14.4" x14ac:dyDescent="0.3">
      <c r="A5" s="4" t="s">
        <v>307</v>
      </c>
      <c r="B5" s="2" t="s">
        <v>299</v>
      </c>
    </row>
    <row r="6" spans="1:2" ht="14.4" x14ac:dyDescent="0.3">
      <c r="A6" s="4" t="s">
        <v>307</v>
      </c>
      <c r="B6" s="2" t="s">
        <v>300</v>
      </c>
    </row>
    <row r="7" spans="1:2" ht="14.4" x14ac:dyDescent="0.3">
      <c r="A7" s="4" t="s">
        <v>307</v>
      </c>
      <c r="B7" s="2" t="s">
        <v>301</v>
      </c>
    </row>
    <row r="8" spans="1:2" ht="14.4" x14ac:dyDescent="0.3">
      <c r="A8" s="4" t="s">
        <v>321</v>
      </c>
      <c r="B8" s="2" t="s">
        <v>296</v>
      </c>
    </row>
    <row r="9" spans="1:2" ht="14.4" x14ac:dyDescent="0.3">
      <c r="A9" s="4" t="s">
        <v>321</v>
      </c>
      <c r="B9" s="2" t="s">
        <v>297</v>
      </c>
    </row>
    <row r="10" spans="1:2" ht="14.4" x14ac:dyDescent="0.3">
      <c r="A10" s="4" t="s">
        <v>321</v>
      </c>
      <c r="B10" s="2" t="s">
        <v>298</v>
      </c>
    </row>
    <row r="11" spans="1:2" ht="14.4" x14ac:dyDescent="0.3">
      <c r="A11" s="4" t="s">
        <v>321</v>
      </c>
      <c r="B11" s="2" t="s">
        <v>299</v>
      </c>
    </row>
    <row r="12" spans="1:2" ht="14.4" x14ac:dyDescent="0.3">
      <c r="A12" s="4" t="s">
        <v>321</v>
      </c>
      <c r="B12" s="2" t="s">
        <v>300</v>
      </c>
    </row>
    <row r="13" spans="1:2" ht="14.4" x14ac:dyDescent="0.3">
      <c r="A13" s="4" t="s">
        <v>321</v>
      </c>
      <c r="B13" s="2" t="s">
        <v>301</v>
      </c>
    </row>
    <row r="14" spans="1:2" ht="14.4" x14ac:dyDescent="0.3">
      <c r="A14" s="4" t="s">
        <v>315</v>
      </c>
      <c r="B14" s="2" t="s">
        <v>296</v>
      </c>
    </row>
    <row r="15" spans="1:2" ht="14.4" x14ac:dyDescent="0.3">
      <c r="A15" s="4" t="s">
        <v>315</v>
      </c>
      <c r="B15" s="2" t="s">
        <v>297</v>
      </c>
    </row>
    <row r="16" spans="1:2" ht="14.4" x14ac:dyDescent="0.3">
      <c r="A16" s="4" t="s">
        <v>315</v>
      </c>
      <c r="B16" s="2" t="s">
        <v>298</v>
      </c>
    </row>
    <row r="17" spans="1:2" ht="14.4" x14ac:dyDescent="0.3">
      <c r="A17" s="4" t="s">
        <v>315</v>
      </c>
      <c r="B17" s="2" t="s">
        <v>299</v>
      </c>
    </row>
    <row r="18" spans="1:2" ht="14.4" x14ac:dyDescent="0.3">
      <c r="A18" s="4" t="s">
        <v>315</v>
      </c>
      <c r="B18" s="2" t="s">
        <v>300</v>
      </c>
    </row>
    <row r="19" spans="1:2" ht="14.4" x14ac:dyDescent="0.3">
      <c r="A19" s="4" t="s">
        <v>315</v>
      </c>
      <c r="B19" s="2" t="s">
        <v>301</v>
      </c>
    </row>
    <row r="20" spans="1:2" ht="14.4" x14ac:dyDescent="0.3">
      <c r="A20" s="4" t="s">
        <v>328</v>
      </c>
      <c r="B20" s="2" t="s">
        <v>296</v>
      </c>
    </row>
    <row r="21" spans="1:2" ht="15.75" customHeight="1" x14ac:dyDescent="0.3">
      <c r="A21" s="4" t="s">
        <v>328</v>
      </c>
      <c r="B21" s="2" t="s">
        <v>297</v>
      </c>
    </row>
    <row r="22" spans="1:2" ht="15.75" customHeight="1" x14ac:dyDescent="0.3">
      <c r="A22" s="4" t="s">
        <v>328</v>
      </c>
      <c r="B22" s="2" t="s">
        <v>298</v>
      </c>
    </row>
    <row r="23" spans="1:2" ht="15.75" customHeight="1" x14ac:dyDescent="0.3">
      <c r="A23" s="4" t="s">
        <v>328</v>
      </c>
      <c r="B23" s="2" t="s">
        <v>299</v>
      </c>
    </row>
    <row r="24" spans="1:2" ht="15.75" customHeight="1" x14ac:dyDescent="0.3">
      <c r="A24" s="4" t="s">
        <v>328</v>
      </c>
      <c r="B24" s="2" t="s">
        <v>300</v>
      </c>
    </row>
    <row r="25" spans="1:2" ht="15.75" customHeight="1" x14ac:dyDescent="0.3">
      <c r="A25" s="4" t="s">
        <v>328</v>
      </c>
      <c r="B25" s="2" t="s">
        <v>301</v>
      </c>
    </row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B21"/>
  <sheetViews>
    <sheetView workbookViewId="0">
      <selection activeCell="F12" sqref="F12"/>
    </sheetView>
  </sheetViews>
  <sheetFormatPr defaultColWidth="12.6640625" defaultRowHeight="15" customHeight="1" x14ac:dyDescent="0.3"/>
  <cols>
    <col min="1" max="1" width="109.88671875" customWidth="1"/>
    <col min="2" max="2" width="24.33203125" customWidth="1"/>
    <col min="3" max="25" width="8.6640625" customWidth="1"/>
  </cols>
  <sheetData>
    <row r="1" spans="1:2" ht="14.4" x14ac:dyDescent="0.3">
      <c r="A1" s="3" t="s">
        <v>7</v>
      </c>
      <c r="B1" s="3" t="s">
        <v>302</v>
      </c>
    </row>
    <row r="2" spans="1:2" ht="14.4" x14ac:dyDescent="0.3">
      <c r="A2" s="4" t="s">
        <v>47</v>
      </c>
      <c r="B2" s="2" t="s">
        <v>79</v>
      </c>
    </row>
    <row r="3" spans="1:2" ht="14.4" x14ac:dyDescent="0.3">
      <c r="A3" s="4" t="s">
        <v>47</v>
      </c>
      <c r="B3" s="2" t="s">
        <v>303</v>
      </c>
    </row>
    <row r="4" spans="1:2" ht="14.4" x14ac:dyDescent="0.3">
      <c r="A4" s="4" t="s">
        <v>47</v>
      </c>
      <c r="B4" s="2" t="s">
        <v>304</v>
      </c>
    </row>
    <row r="5" spans="1:2" ht="14.4" x14ac:dyDescent="0.3">
      <c r="A5" s="4" t="s">
        <v>47</v>
      </c>
      <c r="B5" s="2" t="s">
        <v>305</v>
      </c>
    </row>
    <row r="6" spans="1:2" ht="14.4" x14ac:dyDescent="0.3">
      <c r="A6" s="4" t="s">
        <v>47</v>
      </c>
      <c r="B6" s="2" t="s">
        <v>306</v>
      </c>
    </row>
    <row r="7" spans="1:2" ht="14.4" x14ac:dyDescent="0.3">
      <c r="A7" s="4" t="s">
        <v>114</v>
      </c>
      <c r="B7" s="2" t="s">
        <v>79</v>
      </c>
    </row>
    <row r="8" spans="1:2" ht="14.4" x14ac:dyDescent="0.3">
      <c r="A8" s="4" t="s">
        <v>114</v>
      </c>
      <c r="B8" s="2" t="s">
        <v>303</v>
      </c>
    </row>
    <row r="9" spans="1:2" ht="15.75" customHeight="1" x14ac:dyDescent="0.3">
      <c r="A9" s="4" t="s">
        <v>114</v>
      </c>
      <c r="B9" s="2" t="s">
        <v>304</v>
      </c>
    </row>
    <row r="10" spans="1:2" ht="14.4" x14ac:dyDescent="0.3">
      <c r="A10" s="4" t="s">
        <v>114</v>
      </c>
      <c r="B10" s="2" t="s">
        <v>305</v>
      </c>
    </row>
    <row r="11" spans="1:2" ht="14.4" x14ac:dyDescent="0.3">
      <c r="A11" s="4" t="s">
        <v>114</v>
      </c>
      <c r="B11" s="2" t="s">
        <v>306</v>
      </c>
    </row>
    <row r="12" spans="1:2" ht="14.4" x14ac:dyDescent="0.3">
      <c r="A12" s="4" t="s">
        <v>93</v>
      </c>
      <c r="B12" s="2" t="s">
        <v>79</v>
      </c>
    </row>
    <row r="13" spans="1:2" ht="14.4" x14ac:dyDescent="0.3">
      <c r="A13" s="4" t="s">
        <v>93</v>
      </c>
      <c r="B13" s="2" t="s">
        <v>303</v>
      </c>
    </row>
    <row r="14" spans="1:2" ht="14.4" x14ac:dyDescent="0.3">
      <c r="A14" s="4" t="s">
        <v>93</v>
      </c>
      <c r="B14" s="2" t="s">
        <v>304</v>
      </c>
    </row>
    <row r="15" spans="1:2" ht="14.4" x14ac:dyDescent="0.3">
      <c r="A15" s="4" t="s">
        <v>93</v>
      </c>
      <c r="B15" s="2" t="s">
        <v>305</v>
      </c>
    </row>
    <row r="16" spans="1:2" ht="14.4" x14ac:dyDescent="0.3">
      <c r="A16" s="4" t="s">
        <v>93</v>
      </c>
      <c r="B16" s="2" t="s">
        <v>306</v>
      </c>
    </row>
    <row r="17" spans="1:2" ht="14.4" x14ac:dyDescent="0.3">
      <c r="A17" s="4" t="s">
        <v>121</v>
      </c>
      <c r="B17" s="2" t="s">
        <v>79</v>
      </c>
    </row>
    <row r="18" spans="1:2" ht="14.4" x14ac:dyDescent="0.3">
      <c r="A18" s="4" t="s">
        <v>121</v>
      </c>
      <c r="B18" s="2" t="s">
        <v>303</v>
      </c>
    </row>
    <row r="19" spans="1:2" ht="14.4" x14ac:dyDescent="0.3">
      <c r="A19" s="4" t="s">
        <v>121</v>
      </c>
      <c r="B19" s="2" t="s">
        <v>304</v>
      </c>
    </row>
    <row r="20" spans="1:2" ht="14.4" x14ac:dyDescent="0.3">
      <c r="A20" s="4" t="s">
        <v>121</v>
      </c>
      <c r="B20" s="2" t="s">
        <v>305</v>
      </c>
    </row>
    <row r="21" spans="1:2" ht="15.75" customHeight="1" x14ac:dyDescent="0.3">
      <c r="A21" s="4" t="s">
        <v>121</v>
      </c>
      <c r="B21" s="2" t="s">
        <v>306</v>
      </c>
    </row>
  </sheetData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B21"/>
  <sheetViews>
    <sheetView workbookViewId="0">
      <selection activeCell="A24" sqref="A24"/>
    </sheetView>
  </sheetViews>
  <sheetFormatPr defaultColWidth="12.6640625" defaultRowHeight="15" customHeight="1" x14ac:dyDescent="0.3"/>
  <cols>
    <col min="1" max="1" width="116.77734375" customWidth="1"/>
    <col min="2" max="2" width="26.77734375" customWidth="1"/>
    <col min="3" max="25" width="109.88671875" customWidth="1"/>
  </cols>
  <sheetData>
    <row r="1" spans="1:2" ht="14.4" x14ac:dyDescent="0.3">
      <c r="A1" s="3" t="s">
        <v>7</v>
      </c>
      <c r="B1" s="3" t="s">
        <v>302</v>
      </c>
    </row>
    <row r="2" spans="1:2" ht="14.4" x14ac:dyDescent="0.3">
      <c r="A2" s="4" t="s">
        <v>307</v>
      </c>
      <c r="B2" s="2" t="s">
        <v>79</v>
      </c>
    </row>
    <row r="3" spans="1:2" ht="14.4" x14ac:dyDescent="0.3">
      <c r="A3" s="4" t="s">
        <v>307</v>
      </c>
      <c r="B3" s="2" t="s">
        <v>303</v>
      </c>
    </row>
    <row r="4" spans="1:2" ht="14.4" x14ac:dyDescent="0.3">
      <c r="A4" s="4" t="s">
        <v>307</v>
      </c>
      <c r="B4" s="2" t="s">
        <v>304</v>
      </c>
    </row>
    <row r="5" spans="1:2" ht="14.4" x14ac:dyDescent="0.3">
      <c r="A5" s="4" t="s">
        <v>307</v>
      </c>
      <c r="B5" s="2" t="s">
        <v>305</v>
      </c>
    </row>
    <row r="6" spans="1:2" ht="14.4" x14ac:dyDescent="0.3">
      <c r="A6" s="4" t="s">
        <v>307</v>
      </c>
      <c r="B6" s="2" t="s">
        <v>306</v>
      </c>
    </row>
    <row r="7" spans="1:2" ht="14.4" x14ac:dyDescent="0.3">
      <c r="A7" s="4" t="s">
        <v>321</v>
      </c>
      <c r="B7" s="2" t="s">
        <v>79</v>
      </c>
    </row>
    <row r="8" spans="1:2" ht="14.4" x14ac:dyDescent="0.3">
      <c r="A8" s="4" t="s">
        <v>321</v>
      </c>
      <c r="B8" s="2" t="s">
        <v>303</v>
      </c>
    </row>
    <row r="9" spans="1:2" ht="14.4" x14ac:dyDescent="0.3">
      <c r="A9" s="4" t="s">
        <v>321</v>
      </c>
      <c r="B9" s="2" t="s">
        <v>304</v>
      </c>
    </row>
    <row r="10" spans="1:2" ht="14.4" x14ac:dyDescent="0.3">
      <c r="A10" s="4" t="s">
        <v>321</v>
      </c>
      <c r="B10" s="2" t="s">
        <v>305</v>
      </c>
    </row>
    <row r="11" spans="1:2" ht="14.4" x14ac:dyDescent="0.3">
      <c r="A11" s="4" t="s">
        <v>321</v>
      </c>
      <c r="B11" s="2" t="s">
        <v>306</v>
      </c>
    </row>
    <row r="12" spans="1:2" ht="14.4" x14ac:dyDescent="0.3">
      <c r="A12" s="4" t="s">
        <v>315</v>
      </c>
      <c r="B12" s="2" t="s">
        <v>79</v>
      </c>
    </row>
    <row r="13" spans="1:2" ht="14.4" x14ac:dyDescent="0.3">
      <c r="A13" s="4" t="s">
        <v>315</v>
      </c>
      <c r="B13" s="2" t="s">
        <v>303</v>
      </c>
    </row>
    <row r="14" spans="1:2" ht="14.4" x14ac:dyDescent="0.3">
      <c r="A14" s="4" t="s">
        <v>315</v>
      </c>
      <c r="B14" s="2" t="s">
        <v>304</v>
      </c>
    </row>
    <row r="15" spans="1:2" ht="14.4" x14ac:dyDescent="0.3">
      <c r="A15" s="4" t="s">
        <v>315</v>
      </c>
      <c r="B15" s="2" t="s">
        <v>305</v>
      </c>
    </row>
    <row r="16" spans="1:2" ht="14.4" x14ac:dyDescent="0.3">
      <c r="A16" s="4" t="s">
        <v>315</v>
      </c>
      <c r="B16" s="2" t="s">
        <v>306</v>
      </c>
    </row>
    <row r="17" spans="1:2" ht="14.4" x14ac:dyDescent="0.3">
      <c r="A17" s="4" t="s">
        <v>328</v>
      </c>
      <c r="B17" s="2" t="s">
        <v>79</v>
      </c>
    </row>
    <row r="18" spans="1:2" ht="14.4" x14ac:dyDescent="0.3">
      <c r="A18" s="4" t="s">
        <v>328</v>
      </c>
      <c r="B18" s="2" t="s">
        <v>303</v>
      </c>
    </row>
    <row r="19" spans="1:2" ht="14.4" x14ac:dyDescent="0.3">
      <c r="A19" s="4" t="s">
        <v>328</v>
      </c>
      <c r="B19" s="2" t="s">
        <v>304</v>
      </c>
    </row>
    <row r="20" spans="1:2" ht="14.4" x14ac:dyDescent="0.3">
      <c r="A20" s="4" t="s">
        <v>328</v>
      </c>
      <c r="B20" s="2" t="s">
        <v>305</v>
      </c>
    </row>
    <row r="21" spans="1:2" ht="15.75" customHeight="1" x14ac:dyDescent="0.3">
      <c r="A21" s="4" t="s">
        <v>328</v>
      </c>
      <c r="B21" s="2" t="s">
        <v>306</v>
      </c>
    </row>
  </sheetData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F13"/>
  <sheetViews>
    <sheetView topLeftCell="B1" workbookViewId="0">
      <selection activeCell="B15" sqref="B15"/>
    </sheetView>
  </sheetViews>
  <sheetFormatPr defaultColWidth="12.6640625" defaultRowHeight="15" customHeight="1" x14ac:dyDescent="0.3"/>
  <cols>
    <col min="1" max="1" width="109.109375" customWidth="1"/>
    <col min="2" max="3" width="16" customWidth="1"/>
    <col min="4" max="4" width="56.6640625" customWidth="1"/>
    <col min="5" max="5" width="48.77734375" customWidth="1"/>
    <col min="6" max="6" width="43.88671875" customWidth="1"/>
    <col min="7" max="27" width="8.6640625" customWidth="1"/>
  </cols>
  <sheetData>
    <row r="1" spans="1:6" ht="14.4" x14ac:dyDescent="0.3">
      <c r="A1" s="3" t="s">
        <v>7</v>
      </c>
      <c r="B1" s="3" t="s">
        <v>347</v>
      </c>
      <c r="C1" s="222" t="s">
        <v>523</v>
      </c>
      <c r="D1" s="3" t="s">
        <v>45</v>
      </c>
      <c r="E1" s="222" t="s">
        <v>524</v>
      </c>
      <c r="F1" s="222" t="s">
        <v>525</v>
      </c>
    </row>
    <row r="2" spans="1:6" ht="14.4" x14ac:dyDescent="0.3">
      <c r="A2" s="2" t="s">
        <v>307</v>
      </c>
      <c r="B2" s="2" t="s">
        <v>348</v>
      </c>
      <c r="C2" s="2" t="str">
        <f>IFERROR(VLOOKUP(B2,'ATP - Ad Extensions'!$C:$C,1,FALSE),"#N/A")</f>
        <v>Download</v>
      </c>
      <c r="D2" s="2" t="s">
        <v>345</v>
      </c>
      <c r="E2" s="2" t="s">
        <v>411</v>
      </c>
      <c r="F2" s="2" t="str">
        <f>IFERROR(VLOOKUP(E2,'ATP - Ad Extensions'!$D:$D,1,FALSE), "#N/A")</f>
        <v>https://www.columvi.com/resources/downloads.html</v>
      </c>
    </row>
    <row r="3" spans="1:6" ht="14.4" x14ac:dyDescent="0.3">
      <c r="A3" s="2" t="s">
        <v>307</v>
      </c>
      <c r="B3" s="2" t="s">
        <v>349</v>
      </c>
      <c r="C3" s="2" t="str">
        <f>IFERROR(VLOOKUP(B3,'ATP - Ad Extensions'!$C:$C,1,FALSE),"#N/A")</f>
        <v>Learn More</v>
      </c>
      <c r="D3" s="2" t="s">
        <v>339</v>
      </c>
      <c r="E3" s="2" t="s">
        <v>96</v>
      </c>
      <c r="F3" s="2" t="str">
        <f>IFERROR(VLOOKUP(E3,'ATP - Ad Extensions'!$D:$D,1,FALSE), "#N/A")</f>
        <v>https://www.columvi.com/about-columvi/how-it-works.html</v>
      </c>
    </row>
    <row r="4" spans="1:6" ht="14.4" x14ac:dyDescent="0.3">
      <c r="A4" s="2" t="s">
        <v>307</v>
      </c>
      <c r="B4" s="2" t="s">
        <v>350</v>
      </c>
      <c r="C4" s="2" t="str">
        <f>IFERROR(VLOOKUP(B4,'ATP - Ad Extensions'!$C:$C,1,FALSE),"#N/A")</f>
        <v>Sign Up</v>
      </c>
      <c r="D4" s="2" t="s">
        <v>351</v>
      </c>
      <c r="E4" s="2" t="s">
        <v>442</v>
      </c>
      <c r="F4" s="2" t="str">
        <f>IFERROR(VLOOKUP(E4,'ATP - Ad Extensions'!$D:$D,1,FALSE), "#N/A")</f>
        <v>https://www.columvi.com/resources/sign-up-for-support.html</v>
      </c>
    </row>
    <row r="5" spans="1:6" ht="14.4" x14ac:dyDescent="0.3">
      <c r="A5" s="2" t="s">
        <v>321</v>
      </c>
      <c r="B5" s="2" t="s">
        <v>348</v>
      </c>
      <c r="C5" s="2" t="str">
        <f>IFERROR(VLOOKUP(B5,'ATP - Ad Extensions'!$C:$C,1,FALSE),"#N/A")</f>
        <v>Download</v>
      </c>
      <c r="D5" s="2" t="s">
        <v>345</v>
      </c>
      <c r="E5" s="2" t="s">
        <v>411</v>
      </c>
      <c r="F5" s="2" t="str">
        <f>IFERROR(VLOOKUP(E5,'ATP - Ad Extensions'!$D:$D,1,FALSE), "#N/A")</f>
        <v>https://www.columvi.com/resources/downloads.html</v>
      </c>
    </row>
    <row r="6" spans="1:6" ht="14.4" x14ac:dyDescent="0.3">
      <c r="A6" s="2" t="s">
        <v>321</v>
      </c>
      <c r="B6" s="2" t="s">
        <v>349</v>
      </c>
      <c r="C6" s="2" t="str">
        <f>IFERROR(VLOOKUP(B6,'ATP - Ad Extensions'!$C:$C,1,FALSE),"#N/A")</f>
        <v>Learn More</v>
      </c>
      <c r="D6" s="2" t="s">
        <v>339</v>
      </c>
      <c r="E6" s="246" t="s">
        <v>529</v>
      </c>
      <c r="F6" s="2" t="str">
        <f>IFERROR(VLOOKUP(E6,'ATP - Ad Extensions'!$D:$D,1,FALSE), "#N/A")</f>
        <v>#N/A</v>
      </c>
    </row>
    <row r="7" spans="1:6" ht="14.4" x14ac:dyDescent="0.3">
      <c r="A7" s="2" t="s">
        <v>321</v>
      </c>
      <c r="B7" s="2" t="s">
        <v>350</v>
      </c>
      <c r="C7" s="2" t="str">
        <f>IFERROR(VLOOKUP(B7,'ATP - Ad Extensions'!$C:$C,1,FALSE),"#N/A")</f>
        <v>Sign Up</v>
      </c>
      <c r="D7" s="2" t="s">
        <v>351</v>
      </c>
      <c r="E7" s="2" t="s">
        <v>442</v>
      </c>
      <c r="F7" s="2" t="str">
        <f>IFERROR(VLOOKUP(E7,'ATP - Ad Extensions'!$D:$D,1,FALSE), "#N/A")</f>
        <v>https://www.columvi.com/resources/sign-up-for-support.html</v>
      </c>
    </row>
    <row r="8" spans="1:6" ht="14.4" x14ac:dyDescent="0.3">
      <c r="A8" s="2" t="s">
        <v>315</v>
      </c>
      <c r="B8" s="2" t="s">
        <v>348</v>
      </c>
      <c r="C8" s="2" t="str">
        <f>IFERROR(VLOOKUP(B8,'ATP - Ad Extensions'!$C:$C,1,FALSE),"#N/A")</f>
        <v>Download</v>
      </c>
      <c r="D8" s="2" t="s">
        <v>345</v>
      </c>
      <c r="E8" s="2" t="s">
        <v>411</v>
      </c>
      <c r="F8" s="2" t="str">
        <f>IFERROR(VLOOKUP(E8,'ATP - Ad Extensions'!$D:$D,1,FALSE), "#N/A")</f>
        <v>https://www.columvi.com/resources/downloads.html</v>
      </c>
    </row>
    <row r="9" spans="1:6" ht="14.4" x14ac:dyDescent="0.3">
      <c r="A9" s="2" t="s">
        <v>315</v>
      </c>
      <c r="B9" s="246" t="s">
        <v>348</v>
      </c>
      <c r="C9" s="2" t="str">
        <f>IFERROR(VLOOKUP(B9,'ATP - Ad Extensions'!$C:$C,1,FALSE),"#N/A")</f>
        <v>Download</v>
      </c>
      <c r="D9" s="2" t="s">
        <v>339</v>
      </c>
      <c r="E9" s="2" t="s">
        <v>96</v>
      </c>
      <c r="F9" s="2" t="str">
        <f>IFERROR(VLOOKUP(E9,'ATP - Ad Extensions'!$D:$D,1,FALSE), "#N/A")</f>
        <v>https://www.columvi.com/about-columvi/how-it-works.html</v>
      </c>
    </row>
    <row r="10" spans="1:6" ht="14.4" x14ac:dyDescent="0.3">
      <c r="A10" s="2" t="s">
        <v>315</v>
      </c>
      <c r="B10" s="246" t="s">
        <v>539</v>
      </c>
      <c r="C10" s="2" t="str">
        <f>IFERROR(VLOOKUP(B10,'ATP - Ad Extensions'!$C:$C,1,FALSE),"#N/A")</f>
        <v>#N/A</v>
      </c>
      <c r="D10" s="2" t="s">
        <v>351</v>
      </c>
      <c r="E10" s="2" t="s">
        <v>442</v>
      </c>
      <c r="F10" s="2" t="str">
        <f>IFERROR(VLOOKUP(E10,'ATP - Ad Extensions'!$D:$D,1,FALSE), "#N/A")</f>
        <v>https://www.columvi.com/resources/sign-up-for-support.html</v>
      </c>
    </row>
    <row r="11" spans="1:6" ht="14.4" x14ac:dyDescent="0.3">
      <c r="A11" s="2" t="s">
        <v>328</v>
      </c>
      <c r="B11" s="246" t="s">
        <v>540</v>
      </c>
      <c r="C11" s="2" t="str">
        <f>IFERROR(VLOOKUP(B11,'ATP - Ad Extensions'!$C:$C,1,FALSE),"#N/A")</f>
        <v>#N/A</v>
      </c>
      <c r="D11" s="2" t="s">
        <v>345</v>
      </c>
      <c r="E11" s="2" t="s">
        <v>411</v>
      </c>
      <c r="F11" s="2" t="str">
        <f>IFERROR(VLOOKUP(E11,'ATP - Ad Extensions'!$D:$D,1,FALSE), "#N/A")</f>
        <v>https://www.columvi.com/resources/downloads.html</v>
      </c>
    </row>
    <row r="12" spans="1:6" ht="14.4" x14ac:dyDescent="0.3">
      <c r="A12" s="2" t="s">
        <v>328</v>
      </c>
      <c r="B12" s="246" t="s">
        <v>538</v>
      </c>
      <c r="C12" s="2" t="str">
        <f>IFERROR(VLOOKUP(B12,'ATP - Ad Extensions'!$C:$C,1,FALSE),"#N/A")</f>
        <v>#N/A</v>
      </c>
      <c r="D12" s="2" t="s">
        <v>339</v>
      </c>
      <c r="E12" s="2" t="s">
        <v>96</v>
      </c>
      <c r="F12" s="2" t="str">
        <f>IFERROR(VLOOKUP(E12,'ATP - Ad Extensions'!$D:$D,1,FALSE), "#N/A")</f>
        <v>https://www.columvi.com/about-columvi/how-it-works.html</v>
      </c>
    </row>
    <row r="13" spans="1:6" ht="14.4" x14ac:dyDescent="0.3">
      <c r="A13" s="2" t="s">
        <v>328</v>
      </c>
      <c r="B13" s="2" t="s">
        <v>350</v>
      </c>
      <c r="C13" s="2" t="str">
        <f>IFERROR(VLOOKUP(B13,'ATP - Ad Extensions'!$C:$C,1,FALSE),"#N/A")</f>
        <v>Sign Up</v>
      </c>
      <c r="D13" s="2" t="s">
        <v>351</v>
      </c>
      <c r="E13" s="246" t="s">
        <v>529</v>
      </c>
      <c r="F13" s="2" t="str">
        <f>IFERROR(VLOOKUP(E13,'ATP - Ad Extensions'!$D:$D,1,FALSE), "#N/A")</f>
        <v>#N/A</v>
      </c>
    </row>
  </sheetData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C5EB6-781D-4ECA-8DF4-1495F084A975}">
  <sheetPr codeName="Sheet15"/>
  <dimension ref="A1:I53"/>
  <sheetViews>
    <sheetView topLeftCell="A6" workbookViewId="0">
      <selection activeCell="D15" sqref="D15"/>
    </sheetView>
  </sheetViews>
  <sheetFormatPr defaultColWidth="13" defaultRowHeight="14.4" x14ac:dyDescent="0.3"/>
  <cols>
    <col min="1" max="1" width="30.21875" style="12" customWidth="1"/>
    <col min="2" max="2" width="20.77734375" style="12" customWidth="1"/>
    <col min="3" max="3" width="40.77734375" style="12" customWidth="1"/>
    <col min="4" max="4" width="67.5546875" style="12" bestFit="1" customWidth="1"/>
    <col min="5" max="5" width="40.21875" style="12" bestFit="1" customWidth="1"/>
    <col min="6" max="6" width="14.21875" style="12" customWidth="1"/>
    <col min="7" max="7" width="42.21875" style="12" bestFit="1" customWidth="1"/>
    <col min="8" max="8" width="14.21875" style="12" customWidth="1"/>
    <col min="9" max="9" width="74.33203125" style="12" customWidth="1"/>
    <col min="10" max="16384" width="13" style="12"/>
  </cols>
  <sheetData>
    <row r="1" spans="1:9" ht="17.25" customHeight="1" x14ac:dyDescent="0.3">
      <c r="A1" s="157" t="s">
        <v>397</v>
      </c>
      <c r="B1" s="158"/>
      <c r="C1" s="158"/>
      <c r="D1" s="158"/>
      <c r="E1" s="158"/>
      <c r="F1" s="158"/>
      <c r="G1" s="158"/>
      <c r="H1" s="158"/>
      <c r="I1" s="159"/>
    </row>
    <row r="2" spans="1:9" ht="17.25" customHeight="1" x14ac:dyDescent="0.3">
      <c r="A2" s="13" t="s">
        <v>353</v>
      </c>
      <c r="B2" s="160"/>
      <c r="C2" s="160"/>
      <c r="D2" s="160"/>
      <c r="E2" s="160"/>
      <c r="F2" s="160"/>
      <c r="G2" s="160"/>
      <c r="H2" s="160"/>
      <c r="I2" s="161"/>
    </row>
    <row r="3" spans="1:9" ht="17.25" customHeight="1" x14ac:dyDescent="0.3">
      <c r="A3" s="13" t="s">
        <v>354</v>
      </c>
      <c r="B3" s="160"/>
      <c r="C3" s="160"/>
      <c r="D3" s="160"/>
      <c r="E3" s="160"/>
      <c r="F3" s="160"/>
      <c r="G3" s="160"/>
      <c r="H3" s="160"/>
      <c r="I3" s="161"/>
    </row>
    <row r="4" spans="1:9" ht="17.25" customHeight="1" x14ac:dyDescent="0.3">
      <c r="A4" s="162"/>
      <c r="B4" s="160"/>
      <c r="C4" s="160"/>
      <c r="D4" s="160"/>
      <c r="E4" s="160"/>
      <c r="F4" s="160"/>
      <c r="G4" s="160"/>
      <c r="H4" s="160"/>
      <c r="I4" s="161"/>
    </row>
    <row r="5" spans="1:9" ht="18" customHeight="1" x14ac:dyDescent="0.3">
      <c r="A5" s="28"/>
      <c r="B5" s="160"/>
      <c r="C5" s="160"/>
      <c r="D5" s="160"/>
      <c r="E5" s="160"/>
      <c r="F5" s="160"/>
      <c r="G5" s="160"/>
      <c r="H5" s="160"/>
      <c r="I5" s="161"/>
    </row>
    <row r="6" spans="1:9" ht="30" customHeight="1" x14ac:dyDescent="0.3">
      <c r="A6" s="34" t="s">
        <v>358</v>
      </c>
      <c r="B6" s="160"/>
      <c r="C6" s="160"/>
      <c r="D6" s="160"/>
      <c r="E6" s="160"/>
      <c r="F6" s="160"/>
      <c r="G6" s="160"/>
      <c r="H6" s="160"/>
      <c r="I6" s="161"/>
    </row>
    <row r="7" spans="1:9" ht="25.05" customHeight="1" x14ac:dyDescent="0.3">
      <c r="A7" s="163" t="s">
        <v>361</v>
      </c>
      <c r="B7" s="164"/>
      <c r="C7" s="164"/>
      <c r="D7" s="164"/>
      <c r="E7" s="164"/>
      <c r="F7" s="164"/>
      <c r="G7" s="165"/>
      <c r="H7" s="160"/>
      <c r="I7" s="161"/>
    </row>
    <row r="8" spans="1:9" ht="31.05" customHeight="1" x14ac:dyDescent="0.3">
      <c r="A8" s="166" t="s">
        <v>398</v>
      </c>
      <c r="B8" s="160"/>
      <c r="C8" s="160"/>
      <c r="D8" s="160"/>
      <c r="E8" s="160"/>
      <c r="F8" s="160"/>
      <c r="G8" s="167"/>
      <c r="H8" s="160"/>
      <c r="I8" s="161"/>
    </row>
    <row r="9" spans="1:9" ht="29.1" customHeight="1" x14ac:dyDescent="0.3">
      <c r="A9" s="168" t="s">
        <v>399</v>
      </c>
      <c r="B9" s="160"/>
      <c r="C9" s="160"/>
      <c r="D9" s="160"/>
      <c r="E9" s="160"/>
      <c r="F9" s="160"/>
      <c r="G9" s="167"/>
      <c r="H9" s="160"/>
      <c r="I9" s="161"/>
    </row>
    <row r="10" spans="1:9" ht="20.25" customHeight="1" x14ac:dyDescent="0.3">
      <c r="A10" s="168" t="s">
        <v>400</v>
      </c>
      <c r="B10" s="160"/>
      <c r="C10" s="160"/>
      <c r="D10" s="160"/>
      <c r="E10" s="160"/>
      <c r="F10" s="160"/>
      <c r="G10" s="167"/>
      <c r="H10" s="160"/>
      <c r="I10" s="161"/>
    </row>
    <row r="11" spans="1:9" ht="28.5" customHeight="1" x14ac:dyDescent="0.3">
      <c r="A11" s="169" t="s">
        <v>401</v>
      </c>
      <c r="B11" s="170"/>
      <c r="C11" s="170"/>
      <c r="D11" s="170"/>
      <c r="E11" s="170"/>
      <c r="F11" s="170"/>
      <c r="G11" s="171"/>
      <c r="H11" s="160"/>
      <c r="I11" s="161"/>
    </row>
    <row r="12" spans="1:9" ht="21.75" customHeight="1" thickBot="1" x14ac:dyDescent="0.35">
      <c r="A12" s="168"/>
      <c r="B12" s="160"/>
      <c r="C12" s="160"/>
      <c r="D12" s="160"/>
      <c r="E12" s="160"/>
      <c r="F12" s="160"/>
      <c r="G12" s="160"/>
      <c r="H12" s="160"/>
      <c r="I12" s="161"/>
    </row>
    <row r="13" spans="1:9" ht="21.75" customHeight="1" thickBot="1" x14ac:dyDescent="0.45">
      <c r="A13" s="172" t="s">
        <v>402</v>
      </c>
      <c r="B13" s="173"/>
      <c r="C13" s="239" t="s">
        <v>368</v>
      </c>
      <c r="D13" s="240"/>
      <c r="E13" s="240"/>
      <c r="F13" s="240"/>
      <c r="G13" s="240"/>
      <c r="H13" s="241"/>
      <c r="I13" s="174"/>
    </row>
    <row r="14" spans="1:9" ht="39.6" customHeight="1" thickBot="1" x14ac:dyDescent="0.35">
      <c r="A14" s="242" t="s">
        <v>377</v>
      </c>
      <c r="B14" s="241"/>
      <c r="C14" s="175" t="s">
        <v>378</v>
      </c>
      <c r="D14" s="146" t="s">
        <v>377</v>
      </c>
      <c r="E14" s="175" t="s">
        <v>378</v>
      </c>
      <c r="F14" s="146" t="s">
        <v>377</v>
      </c>
      <c r="G14" s="175" t="s">
        <v>378</v>
      </c>
      <c r="H14" s="146" t="s">
        <v>377</v>
      </c>
      <c r="I14" s="150" t="s">
        <v>396</v>
      </c>
    </row>
    <row r="15" spans="1:9" ht="43.2" x14ac:dyDescent="0.3">
      <c r="A15" s="176" t="s">
        <v>7</v>
      </c>
      <c r="B15" s="177" t="s">
        <v>403</v>
      </c>
      <c r="C15" s="178" t="s">
        <v>270</v>
      </c>
      <c r="D15" s="179" t="s">
        <v>404</v>
      </c>
      <c r="E15" s="178" t="s">
        <v>405</v>
      </c>
      <c r="F15" s="179" t="s">
        <v>406</v>
      </c>
      <c r="G15" s="178" t="s">
        <v>407</v>
      </c>
      <c r="H15" s="179" t="s">
        <v>406</v>
      </c>
      <c r="I15" s="180" t="s">
        <v>408</v>
      </c>
    </row>
    <row r="16" spans="1:9" ht="21.75" customHeight="1" x14ac:dyDescent="0.3">
      <c r="A16" s="181" t="s">
        <v>409</v>
      </c>
      <c r="B16" s="182" t="s">
        <v>410</v>
      </c>
      <c r="C16" s="93" t="s">
        <v>291</v>
      </c>
      <c r="D16" s="98">
        <f t="shared" ref="D16:D21" si="0">25-LEN(C16)</f>
        <v>7</v>
      </c>
      <c r="E16" s="98" t="s">
        <v>292</v>
      </c>
      <c r="F16" s="98">
        <f t="shared" ref="F16:F21" si="1">35-LEN(E16)</f>
        <v>3</v>
      </c>
      <c r="G16" s="98" t="s">
        <v>293</v>
      </c>
      <c r="H16" s="98">
        <f t="shared" ref="H16:H21" si="2">35-LEN(G16)</f>
        <v>2</v>
      </c>
      <c r="I16" s="183" t="s">
        <v>411</v>
      </c>
    </row>
    <row r="17" spans="1:9" ht="21.75" customHeight="1" x14ac:dyDescent="0.3">
      <c r="A17" s="181" t="s">
        <v>409</v>
      </c>
      <c r="B17" s="182" t="s">
        <v>412</v>
      </c>
      <c r="C17" s="98" t="s">
        <v>283</v>
      </c>
      <c r="D17" s="98">
        <f t="shared" si="0"/>
        <v>7</v>
      </c>
      <c r="E17" s="98" t="s">
        <v>284</v>
      </c>
      <c r="F17" s="98">
        <f t="shared" si="1"/>
        <v>2</v>
      </c>
      <c r="G17" s="98" t="s">
        <v>285</v>
      </c>
      <c r="H17" s="98">
        <f t="shared" si="2"/>
        <v>2</v>
      </c>
      <c r="I17" s="183" t="s">
        <v>413</v>
      </c>
    </row>
    <row r="18" spans="1:9" ht="21.75" customHeight="1" x14ac:dyDescent="0.3">
      <c r="A18" s="181" t="s">
        <v>409</v>
      </c>
      <c r="B18" s="182" t="s">
        <v>414</v>
      </c>
      <c r="C18" s="98" t="s">
        <v>276</v>
      </c>
      <c r="D18" s="98">
        <f t="shared" si="0"/>
        <v>8</v>
      </c>
      <c r="E18" s="98" t="s">
        <v>277</v>
      </c>
      <c r="F18" s="98">
        <f t="shared" si="1"/>
        <v>3</v>
      </c>
      <c r="G18" s="98" t="s">
        <v>278</v>
      </c>
      <c r="H18" s="98">
        <f t="shared" si="2"/>
        <v>5</v>
      </c>
      <c r="I18" s="183" t="s">
        <v>88</v>
      </c>
    </row>
    <row r="19" spans="1:9" ht="21.75" customHeight="1" x14ac:dyDescent="0.3">
      <c r="A19" s="181" t="s">
        <v>409</v>
      </c>
      <c r="B19" s="182" t="s">
        <v>415</v>
      </c>
      <c r="C19" s="98" t="s">
        <v>60</v>
      </c>
      <c r="D19" s="98">
        <f t="shared" si="0"/>
        <v>14</v>
      </c>
      <c r="E19" s="98" t="s">
        <v>274</v>
      </c>
      <c r="F19" s="98">
        <f t="shared" si="1"/>
        <v>9</v>
      </c>
      <c r="G19" s="98" t="s">
        <v>275</v>
      </c>
      <c r="H19" s="98">
        <f t="shared" si="2"/>
        <v>8</v>
      </c>
      <c r="I19" s="183" t="s">
        <v>69</v>
      </c>
    </row>
    <row r="20" spans="1:9" ht="21.75" customHeight="1" x14ac:dyDescent="0.3">
      <c r="A20" s="181" t="s">
        <v>409</v>
      </c>
      <c r="B20" s="182" t="s">
        <v>416</v>
      </c>
      <c r="C20" s="98" t="s">
        <v>279</v>
      </c>
      <c r="D20" s="98">
        <f t="shared" si="0"/>
        <v>10</v>
      </c>
      <c r="E20" s="98" t="s">
        <v>280</v>
      </c>
      <c r="F20" s="98">
        <f t="shared" si="1"/>
        <v>3</v>
      </c>
      <c r="G20" s="98" t="s">
        <v>281</v>
      </c>
      <c r="H20" s="98">
        <f t="shared" si="2"/>
        <v>1</v>
      </c>
      <c r="I20" s="183" t="s">
        <v>417</v>
      </c>
    </row>
    <row r="21" spans="1:9" ht="24.6" customHeight="1" x14ac:dyDescent="0.3">
      <c r="A21" s="181" t="s">
        <v>409</v>
      </c>
      <c r="B21" s="182" t="s">
        <v>418</v>
      </c>
      <c r="C21" s="98" t="s">
        <v>287</v>
      </c>
      <c r="D21" s="98">
        <f t="shared" si="0"/>
        <v>13</v>
      </c>
      <c r="E21" s="98" t="s">
        <v>288</v>
      </c>
      <c r="F21" s="98">
        <f t="shared" si="1"/>
        <v>3</v>
      </c>
      <c r="G21" s="98" t="s">
        <v>289</v>
      </c>
      <c r="H21" s="98">
        <f t="shared" si="2"/>
        <v>1</v>
      </c>
      <c r="I21" s="183" t="s">
        <v>419</v>
      </c>
    </row>
    <row r="22" spans="1:9" ht="21.75" customHeight="1" x14ac:dyDescent="0.3">
      <c r="A22" s="184"/>
      <c r="B22" s="185"/>
      <c r="C22" s="94"/>
      <c r="D22" s="122"/>
      <c r="E22" s="94"/>
      <c r="F22" s="122"/>
      <c r="G22" s="94"/>
      <c r="H22" s="122"/>
      <c r="I22" s="186"/>
    </row>
    <row r="23" spans="1:9" ht="13.5" customHeight="1" x14ac:dyDescent="0.3">
      <c r="A23" s="187" t="s">
        <v>420</v>
      </c>
      <c r="B23" s="173"/>
      <c r="C23" s="173"/>
      <c r="D23" s="173"/>
      <c r="E23" s="173"/>
      <c r="F23" s="173"/>
      <c r="G23" s="173"/>
      <c r="H23" s="173"/>
      <c r="I23" s="174"/>
    </row>
    <row r="24" spans="1:9" ht="13.5" customHeight="1" x14ac:dyDescent="0.3">
      <c r="A24" s="172"/>
      <c r="B24" s="173"/>
      <c r="C24" s="173"/>
      <c r="D24" s="173"/>
      <c r="E24" s="173"/>
      <c r="F24" s="173"/>
      <c r="G24" s="173"/>
      <c r="H24" s="173"/>
      <c r="I24" s="174"/>
    </row>
    <row r="25" spans="1:9" ht="1.5" customHeight="1" thickBot="1" x14ac:dyDescent="0.35">
      <c r="A25" s="172"/>
      <c r="B25" s="173"/>
      <c r="C25" s="173"/>
      <c r="D25" s="173"/>
      <c r="E25" s="173"/>
      <c r="F25" s="173"/>
      <c r="G25" s="173"/>
      <c r="H25" s="173"/>
      <c r="I25" s="174"/>
    </row>
    <row r="26" spans="1:9" ht="15.75" customHeight="1" thickBot="1" x14ac:dyDescent="0.35">
      <c r="A26" s="172" t="s">
        <v>421</v>
      </c>
      <c r="B26" s="173"/>
      <c r="C26" s="188" t="s">
        <v>368</v>
      </c>
      <c r="D26" s="173"/>
      <c r="E26" s="173"/>
      <c r="F26" s="173"/>
      <c r="G26" s="173"/>
      <c r="H26" s="173"/>
      <c r="I26" s="174"/>
    </row>
    <row r="27" spans="1:9" ht="25.5" customHeight="1" thickBot="1" x14ac:dyDescent="0.35">
      <c r="A27" s="242" t="s">
        <v>377</v>
      </c>
      <c r="B27" s="240"/>
      <c r="C27" s="148" t="s">
        <v>378</v>
      </c>
      <c r="D27" s="173"/>
      <c r="E27" s="173"/>
      <c r="F27" s="173"/>
      <c r="G27" s="173"/>
      <c r="H27" s="173"/>
      <c r="I27" s="174"/>
    </row>
    <row r="28" spans="1:9" ht="36.6" customHeight="1" x14ac:dyDescent="0.3">
      <c r="A28" s="176" t="s">
        <v>7</v>
      </c>
      <c r="B28" s="189" t="s">
        <v>422</v>
      </c>
      <c r="C28" s="178" t="s">
        <v>346</v>
      </c>
      <c r="D28" s="190" t="s">
        <v>404</v>
      </c>
      <c r="E28" s="173"/>
      <c r="F28" s="173"/>
      <c r="G28" s="173"/>
      <c r="H28" s="173"/>
      <c r="I28" s="174"/>
    </row>
    <row r="29" spans="1:9" ht="15.75" customHeight="1" x14ac:dyDescent="0.3">
      <c r="A29" s="181" t="s">
        <v>409</v>
      </c>
      <c r="B29" s="182" t="s">
        <v>423</v>
      </c>
      <c r="C29" s="98" t="s">
        <v>299</v>
      </c>
      <c r="D29" s="98">
        <f t="shared" ref="D29:D34" si="3">25-LEN(C29)</f>
        <v>6</v>
      </c>
      <c r="E29" s="173"/>
      <c r="F29" s="173"/>
      <c r="G29" s="173"/>
      <c r="H29" s="173"/>
      <c r="I29" s="174"/>
    </row>
    <row r="30" spans="1:9" ht="15.75" customHeight="1" x14ac:dyDescent="0.3">
      <c r="A30" s="181" t="s">
        <v>409</v>
      </c>
      <c r="B30" s="182" t="s">
        <v>424</v>
      </c>
      <c r="C30" s="98" t="s">
        <v>300</v>
      </c>
      <c r="D30" s="98">
        <f t="shared" si="3"/>
        <v>1</v>
      </c>
      <c r="E30" s="173"/>
      <c r="F30" s="173"/>
      <c r="G30" s="173"/>
      <c r="H30" s="173"/>
      <c r="I30" s="174"/>
    </row>
    <row r="31" spans="1:9" ht="15.75" customHeight="1" x14ac:dyDescent="0.3">
      <c r="A31" s="181" t="s">
        <v>409</v>
      </c>
      <c r="B31" s="182" t="s">
        <v>425</v>
      </c>
      <c r="C31" s="98" t="s">
        <v>301</v>
      </c>
      <c r="D31" s="98">
        <f t="shared" si="3"/>
        <v>7</v>
      </c>
      <c r="E31" s="173"/>
      <c r="F31" s="173"/>
      <c r="G31" s="173"/>
      <c r="H31" s="173"/>
      <c r="I31" s="174"/>
    </row>
    <row r="32" spans="1:9" ht="15.75" customHeight="1" x14ac:dyDescent="0.3">
      <c r="A32" s="181" t="s">
        <v>409</v>
      </c>
      <c r="B32" s="182" t="s">
        <v>426</v>
      </c>
      <c r="C32" s="98" t="s">
        <v>297</v>
      </c>
      <c r="D32" s="98">
        <f t="shared" si="3"/>
        <v>4</v>
      </c>
      <c r="E32" s="173"/>
      <c r="F32" s="173"/>
      <c r="G32" s="173"/>
      <c r="H32" s="173"/>
      <c r="I32" s="174"/>
    </row>
    <row r="33" spans="1:4" ht="15.75" customHeight="1" x14ac:dyDescent="0.3">
      <c r="A33" s="181" t="s">
        <v>409</v>
      </c>
      <c r="B33" s="182" t="s">
        <v>427</v>
      </c>
      <c r="C33" s="98" t="s">
        <v>298</v>
      </c>
      <c r="D33" s="98">
        <f t="shared" si="3"/>
        <v>9</v>
      </c>
    </row>
    <row r="34" spans="1:4" ht="15.75" customHeight="1" x14ac:dyDescent="0.3">
      <c r="A34" s="181" t="s">
        <v>409</v>
      </c>
      <c r="B34" s="182" t="s">
        <v>428</v>
      </c>
      <c r="C34" s="98" t="s">
        <v>296</v>
      </c>
      <c r="D34" s="98">
        <f t="shared" si="3"/>
        <v>0</v>
      </c>
    </row>
    <row r="35" spans="1:4" ht="15.75" customHeight="1" x14ac:dyDescent="0.3">
      <c r="A35" s="172"/>
      <c r="B35" s="173"/>
      <c r="C35" s="173"/>
      <c r="D35" s="173"/>
    </row>
    <row r="36" spans="1:4" ht="15.75" customHeight="1" x14ac:dyDescent="0.3">
      <c r="A36" s="187" t="s">
        <v>429</v>
      </c>
      <c r="B36" s="173"/>
      <c r="C36" s="173"/>
      <c r="D36" s="173"/>
    </row>
    <row r="37" spans="1:4" ht="15.75" customHeight="1" x14ac:dyDescent="0.3">
      <c r="A37" s="172"/>
      <c r="B37" s="173"/>
      <c r="C37" s="173"/>
      <c r="D37" s="173"/>
    </row>
    <row r="38" spans="1:4" ht="15.75" customHeight="1" thickBot="1" x14ac:dyDescent="0.35">
      <c r="A38" s="172"/>
      <c r="B38" s="173"/>
      <c r="C38" s="173"/>
      <c r="D38" s="173"/>
    </row>
    <row r="39" spans="1:4" ht="21" x14ac:dyDescent="0.3">
      <c r="A39" s="172" t="s">
        <v>430</v>
      </c>
      <c r="B39" s="173"/>
      <c r="C39" s="191" t="s">
        <v>368</v>
      </c>
      <c r="D39" s="173"/>
    </row>
    <row r="40" spans="1:4" ht="21.6" customHeight="1" x14ac:dyDescent="0.3">
      <c r="A40" s="243" t="s">
        <v>377</v>
      </c>
      <c r="B40" s="244"/>
      <c r="C40" s="192" t="s">
        <v>378</v>
      </c>
      <c r="D40" s="193" t="s">
        <v>379</v>
      </c>
    </row>
    <row r="41" spans="1:4" ht="28.8" x14ac:dyDescent="0.3">
      <c r="A41" s="194" t="s">
        <v>7</v>
      </c>
      <c r="B41" s="195" t="s">
        <v>431</v>
      </c>
      <c r="C41" s="196" t="s">
        <v>432</v>
      </c>
      <c r="D41" s="83" t="s">
        <v>404</v>
      </c>
    </row>
    <row r="42" spans="1:4" ht="15.75" customHeight="1" x14ac:dyDescent="0.3">
      <c r="A42" s="181" t="s">
        <v>409</v>
      </c>
      <c r="B42" s="182" t="s">
        <v>433</v>
      </c>
      <c r="C42" s="98" t="s">
        <v>305</v>
      </c>
      <c r="D42" s="98">
        <f t="shared" ref="D42:D46" si="4">25-LEN(C42)</f>
        <v>8</v>
      </c>
    </row>
    <row r="43" spans="1:4" ht="15.75" customHeight="1" x14ac:dyDescent="0.3">
      <c r="A43" s="181" t="s">
        <v>409</v>
      </c>
      <c r="B43" s="182" t="s">
        <v>434</v>
      </c>
      <c r="C43" s="98" t="s">
        <v>303</v>
      </c>
      <c r="D43" s="98">
        <f t="shared" si="4"/>
        <v>5</v>
      </c>
    </row>
    <row r="44" spans="1:4" ht="15.75" customHeight="1" x14ac:dyDescent="0.3">
      <c r="A44" s="181" t="s">
        <v>409</v>
      </c>
      <c r="B44" s="182" t="s">
        <v>435</v>
      </c>
      <c r="C44" s="98" t="s">
        <v>304</v>
      </c>
      <c r="D44" s="98">
        <f t="shared" si="4"/>
        <v>12</v>
      </c>
    </row>
    <row r="45" spans="1:4" ht="15.75" customHeight="1" x14ac:dyDescent="0.3">
      <c r="A45" s="181" t="s">
        <v>409</v>
      </c>
      <c r="B45" s="182" t="s">
        <v>436</v>
      </c>
      <c r="C45" s="98" t="s">
        <v>79</v>
      </c>
      <c r="D45" s="98">
        <f t="shared" si="4"/>
        <v>3</v>
      </c>
    </row>
    <row r="46" spans="1:4" ht="15.75" customHeight="1" x14ac:dyDescent="0.3">
      <c r="A46" s="181" t="s">
        <v>409</v>
      </c>
      <c r="B46" s="182" t="s">
        <v>437</v>
      </c>
      <c r="C46" s="98" t="s">
        <v>306</v>
      </c>
      <c r="D46" s="98">
        <f t="shared" si="4"/>
        <v>0</v>
      </c>
    </row>
    <row r="47" spans="1:4" ht="15.75" customHeight="1" x14ac:dyDescent="0.3">
      <c r="A47" s="197"/>
      <c r="B47" s="11"/>
      <c r="C47" s="11"/>
      <c r="D47" s="11"/>
    </row>
    <row r="48" spans="1:4" ht="22.5" customHeight="1" x14ac:dyDescent="0.3">
      <c r="A48" s="172" t="s">
        <v>347</v>
      </c>
      <c r="B48" s="173"/>
      <c r="C48" s="198" t="s">
        <v>368</v>
      </c>
      <c r="D48" s="173"/>
    </row>
    <row r="49" spans="1:4" ht="20.55" customHeight="1" x14ac:dyDescent="0.3">
      <c r="A49" s="245" t="s">
        <v>377</v>
      </c>
      <c r="B49" s="244"/>
      <c r="C49" s="199" t="s">
        <v>378</v>
      </c>
      <c r="D49" s="200" t="s">
        <v>379</v>
      </c>
    </row>
    <row r="50" spans="1:4" ht="22.05" customHeight="1" x14ac:dyDescent="0.3">
      <c r="A50" s="201" t="s">
        <v>7</v>
      </c>
      <c r="B50" s="202" t="s">
        <v>438</v>
      </c>
      <c r="C50" s="202" t="s">
        <v>347</v>
      </c>
      <c r="D50" s="203" t="s">
        <v>45</v>
      </c>
    </row>
    <row r="51" spans="1:4" ht="15.75" customHeight="1" x14ac:dyDescent="0.3">
      <c r="A51" s="181" t="s">
        <v>409</v>
      </c>
      <c r="B51" s="204" t="s">
        <v>439</v>
      </c>
      <c r="C51" s="98" t="s">
        <v>348</v>
      </c>
      <c r="D51" s="93" t="s">
        <v>411</v>
      </c>
    </row>
    <row r="52" spans="1:4" ht="15.75" customHeight="1" x14ac:dyDescent="0.3">
      <c r="A52" s="181" t="s">
        <v>409</v>
      </c>
      <c r="B52" s="204" t="s">
        <v>440</v>
      </c>
      <c r="C52" s="98" t="s">
        <v>349</v>
      </c>
      <c r="D52" s="93" t="s">
        <v>96</v>
      </c>
    </row>
    <row r="53" spans="1:4" ht="15.75" customHeight="1" thickBot="1" x14ac:dyDescent="0.35">
      <c r="A53" s="205" t="s">
        <v>409</v>
      </c>
      <c r="B53" s="206" t="s">
        <v>441</v>
      </c>
      <c r="C53" s="112" t="s">
        <v>350</v>
      </c>
      <c r="D53" s="115" t="s">
        <v>442</v>
      </c>
    </row>
  </sheetData>
  <mergeCells count="5">
    <mergeCell ref="C13:H13"/>
    <mergeCell ref="A14:B14"/>
    <mergeCell ref="A27:B27"/>
    <mergeCell ref="A40:B40"/>
    <mergeCell ref="A49:B49"/>
  </mergeCells>
  <conditionalFormatting sqref="C14 E14 G14 I14">
    <cfRule type="cellIs" dxfId="12" priority="1" operator="equal">
      <formula>"FDA"</formula>
    </cfRule>
    <cfRule type="cellIs" dxfId="11" priority="2" operator="equal">
      <formula>"FDA"</formula>
    </cfRule>
  </conditionalFormatting>
  <conditionalFormatting sqref="C27 C40">
    <cfRule type="cellIs" dxfId="10" priority="3" operator="equal">
      <formula>"FDA"</formula>
    </cfRule>
    <cfRule type="cellIs" dxfId="9" priority="4" operator="equal">
      <formula>"FDA"</formula>
    </cfRule>
  </conditionalFormatting>
  <conditionalFormatting sqref="D15">
    <cfRule type="cellIs" dxfId="8" priority="5" operator="equal">
      <formula>"FDA"</formula>
    </cfRule>
    <cfRule type="cellIs" dxfId="7" priority="6" operator="equal">
      <formula>"FDA"</formula>
    </cfRule>
  </conditionalFormatting>
  <conditionalFormatting sqref="D16:D22 F16:F22 H16:H22 D29:D34 D42:D46">
    <cfRule type="cellIs" dxfId="6" priority="7" operator="lessThan">
      <formula>0</formula>
    </cfRule>
  </conditionalFormatting>
  <conditionalFormatting sqref="D28 D41">
    <cfRule type="cellIs" dxfId="5" priority="8" operator="equal">
      <formula>"FDA"</formula>
    </cfRule>
    <cfRule type="cellIs" dxfId="4" priority="9" operator="equal">
      <formula>"FDA"</formula>
    </cfRule>
  </conditionalFormatting>
  <conditionalFormatting sqref="F15">
    <cfRule type="cellIs" dxfId="3" priority="10" operator="equal">
      <formula>"FDA"</formula>
    </cfRule>
    <cfRule type="cellIs" dxfId="2" priority="11" operator="equal">
      <formula>"FDA"</formula>
    </cfRule>
  </conditionalFormatting>
  <conditionalFormatting sqref="H15">
    <cfRule type="cellIs" dxfId="1" priority="12" operator="equal">
      <formula>"FDA"</formula>
    </cfRule>
    <cfRule type="cellIs" dxfId="0" priority="13" operator="equal">
      <formula>"FDA"</formula>
    </cfRule>
  </conditionalFormatting>
  <hyperlinks>
    <hyperlink ref="I19" r:id="rId1" xr:uid="{12A85115-5B85-47E7-97F1-807D80E05E84}"/>
    <hyperlink ref="I20" r:id="rId2" xr:uid="{EF21045D-26E1-41D3-BE15-4918D6237A1F}"/>
    <hyperlink ref="I21" r:id="rId3" xr:uid="{B9692095-E5DB-4C9B-9428-23C286C7228A}"/>
    <hyperlink ref="D51" r:id="rId4" xr:uid="{718868B8-ECDC-4A00-A1EA-90B70CDD54EE}"/>
    <hyperlink ref="D52" r:id="rId5" xr:uid="{6FCA202F-2420-4826-801E-8DB2C4D9C969}"/>
    <hyperlink ref="D53" r:id="rId6" xr:uid="{906F2074-B2E0-4D88-868F-2E9236B6556F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29390-7533-4DBC-BD68-9954FED7C172}">
  <sheetPr codeName="Sheet16"/>
  <dimension ref="A1:N8"/>
  <sheetViews>
    <sheetView workbookViewId="0">
      <selection activeCell="C14" sqref="C14"/>
    </sheetView>
  </sheetViews>
  <sheetFormatPr defaultRowHeight="14.4" x14ac:dyDescent="0.3"/>
  <cols>
    <col min="1" max="1" width="58.44140625" bestFit="1" customWidth="1"/>
    <col min="2" max="2" width="6.21875" bestFit="1" customWidth="1"/>
    <col min="3" max="3" width="58.44140625" customWidth="1"/>
    <col min="4" max="4" width="58.44140625" bestFit="1" customWidth="1"/>
    <col min="5" max="5" width="6.21875" bestFit="1" customWidth="1"/>
    <col min="6" max="6" width="58.44140625" customWidth="1"/>
    <col min="7" max="7" width="61.21875" bestFit="1" customWidth="1"/>
    <col min="8" max="8" width="6.21875" bestFit="1" customWidth="1"/>
    <col min="9" max="9" width="61.21875" customWidth="1"/>
    <col min="10" max="10" width="61.21875" bestFit="1" customWidth="1"/>
    <col min="11" max="11" width="6.21875" bestFit="1" customWidth="1"/>
    <col min="12" max="12" width="61.21875" customWidth="1"/>
    <col min="13" max="13" width="52" bestFit="1" customWidth="1"/>
    <col min="14" max="14" width="6.21875" bestFit="1" customWidth="1"/>
  </cols>
  <sheetData>
    <row r="1" spans="1:14" x14ac:dyDescent="0.3">
      <c r="A1" s="211" t="s">
        <v>460</v>
      </c>
      <c r="B1" s="228" t="s">
        <v>467</v>
      </c>
      <c r="C1" s="6"/>
      <c r="D1" s="213" t="s">
        <v>461</v>
      </c>
      <c r="E1" s="222" t="s">
        <v>467</v>
      </c>
      <c r="F1" s="6"/>
      <c r="G1" s="213" t="s">
        <v>463</v>
      </c>
      <c r="H1" s="222" t="s">
        <v>467</v>
      </c>
      <c r="I1" s="215"/>
      <c r="J1" s="213" t="s">
        <v>462</v>
      </c>
      <c r="K1" s="222" t="s">
        <v>467</v>
      </c>
      <c r="L1" s="215"/>
      <c r="M1" s="212" t="s">
        <v>464</v>
      </c>
      <c r="N1" s="222" t="s">
        <v>467</v>
      </c>
    </row>
    <row r="2" spans="1:14" x14ac:dyDescent="0.3">
      <c r="A2" t="s">
        <v>88</v>
      </c>
      <c r="B2">
        <v>200</v>
      </c>
      <c r="D2" t="s">
        <v>88</v>
      </c>
      <c r="E2">
        <v>200</v>
      </c>
      <c r="G2" t="s">
        <v>88</v>
      </c>
      <c r="H2">
        <v>200</v>
      </c>
      <c r="J2" t="s">
        <v>88</v>
      </c>
      <c r="K2">
        <v>200</v>
      </c>
      <c r="M2" t="s">
        <v>411</v>
      </c>
      <c r="N2">
        <v>200</v>
      </c>
    </row>
    <row r="3" spans="1:14" x14ac:dyDescent="0.3">
      <c r="A3" s="214" t="s">
        <v>101</v>
      </c>
      <c r="B3" s="214">
        <v>404</v>
      </c>
      <c r="D3" s="214" t="s">
        <v>101</v>
      </c>
      <c r="E3" s="214">
        <v>404</v>
      </c>
      <c r="G3" t="s">
        <v>417</v>
      </c>
      <c r="H3">
        <v>200</v>
      </c>
      <c r="J3" t="s">
        <v>417</v>
      </c>
      <c r="K3">
        <v>200</v>
      </c>
      <c r="M3" t="s">
        <v>442</v>
      </c>
      <c r="N3">
        <v>200</v>
      </c>
    </row>
    <row r="4" spans="1:14" x14ac:dyDescent="0.3">
      <c r="A4" s="214" t="s">
        <v>91</v>
      </c>
      <c r="B4" s="214">
        <v>404</v>
      </c>
      <c r="D4" s="214" t="s">
        <v>91</v>
      </c>
      <c r="E4" s="214">
        <v>404</v>
      </c>
      <c r="G4" t="s">
        <v>411</v>
      </c>
      <c r="H4">
        <v>200</v>
      </c>
      <c r="J4" t="s">
        <v>411</v>
      </c>
      <c r="K4">
        <v>200</v>
      </c>
      <c r="M4" t="s">
        <v>96</v>
      </c>
      <c r="N4">
        <v>200</v>
      </c>
    </row>
    <row r="5" spans="1:14" x14ac:dyDescent="0.3">
      <c r="A5" t="s">
        <v>69</v>
      </c>
      <c r="B5">
        <v>200</v>
      </c>
      <c r="D5" t="s">
        <v>69</v>
      </c>
      <c r="E5">
        <v>200</v>
      </c>
      <c r="G5" t="s">
        <v>69</v>
      </c>
      <c r="H5">
        <v>200</v>
      </c>
      <c r="J5" t="s">
        <v>69</v>
      </c>
      <c r="K5">
        <v>200</v>
      </c>
    </row>
    <row r="6" spans="1:14" x14ac:dyDescent="0.3">
      <c r="A6" t="s">
        <v>81</v>
      </c>
      <c r="B6">
        <v>200</v>
      </c>
      <c r="D6" t="s">
        <v>81</v>
      </c>
      <c r="E6">
        <v>200</v>
      </c>
      <c r="G6" t="s">
        <v>419</v>
      </c>
      <c r="H6">
        <v>200</v>
      </c>
      <c r="J6" t="s">
        <v>419</v>
      </c>
      <c r="K6">
        <v>200</v>
      </c>
    </row>
    <row r="7" spans="1:14" x14ac:dyDescent="0.3">
      <c r="A7" s="214" t="s">
        <v>107</v>
      </c>
      <c r="B7" s="214">
        <v>404</v>
      </c>
      <c r="D7" s="214" t="s">
        <v>107</v>
      </c>
      <c r="E7" s="214">
        <v>404</v>
      </c>
      <c r="G7" t="s">
        <v>413</v>
      </c>
      <c r="H7">
        <v>200</v>
      </c>
      <c r="J7" t="s">
        <v>413</v>
      </c>
      <c r="K7">
        <v>200</v>
      </c>
    </row>
    <row r="8" spans="1:14" x14ac:dyDescent="0.3">
      <c r="A8" t="s">
        <v>96</v>
      </c>
      <c r="B8">
        <v>200</v>
      </c>
      <c r="D8" t="s">
        <v>96</v>
      </c>
      <c r="E8">
        <v>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1B2F8-ED8B-471B-8233-2E4CD554C622}">
  <sheetPr codeName="Sheet17"/>
  <dimension ref="A1:B27"/>
  <sheetViews>
    <sheetView workbookViewId="0">
      <selection activeCell="D9" sqref="D9"/>
    </sheetView>
  </sheetViews>
  <sheetFormatPr defaultColWidth="13" defaultRowHeight="14.4" x14ac:dyDescent="0.3"/>
  <cols>
    <col min="1" max="1" width="81.21875" style="12" bestFit="1" customWidth="1"/>
    <col min="2" max="2" width="7.5546875" style="12" bestFit="1" customWidth="1"/>
    <col min="3" max="16384" width="13" style="12"/>
  </cols>
  <sheetData>
    <row r="1" spans="1:2" ht="18.600000000000001" thickBot="1" x14ac:dyDescent="0.35">
      <c r="A1" s="207" t="s">
        <v>443</v>
      </c>
      <c r="B1" s="221" t="s">
        <v>467</v>
      </c>
    </row>
    <row r="2" spans="1:2" x14ac:dyDescent="0.3">
      <c r="A2" s="208" t="s">
        <v>444</v>
      </c>
      <c r="B2" s="173">
        <v>200</v>
      </c>
    </row>
    <row r="3" spans="1:2" ht="18" customHeight="1" x14ac:dyDescent="0.3">
      <c r="A3" s="208" t="s">
        <v>69</v>
      </c>
      <c r="B3" s="173">
        <v>200</v>
      </c>
    </row>
    <row r="4" spans="1:2" ht="18" customHeight="1" x14ac:dyDescent="0.3">
      <c r="A4" s="208" t="s">
        <v>96</v>
      </c>
      <c r="B4" s="173">
        <v>200</v>
      </c>
    </row>
    <row r="5" spans="1:2" ht="18" customHeight="1" x14ac:dyDescent="0.3">
      <c r="A5" s="208" t="s">
        <v>419</v>
      </c>
      <c r="B5" s="173">
        <v>200</v>
      </c>
    </row>
    <row r="6" spans="1:2" ht="18" customHeight="1" x14ac:dyDescent="0.3">
      <c r="A6" s="208" t="s">
        <v>413</v>
      </c>
      <c r="B6" s="173">
        <v>200</v>
      </c>
    </row>
    <row r="7" spans="1:2" ht="18" customHeight="1" x14ac:dyDescent="0.3">
      <c r="A7" s="208" t="s">
        <v>81</v>
      </c>
      <c r="B7" s="173">
        <v>200</v>
      </c>
    </row>
    <row r="8" spans="1:2" ht="18" customHeight="1" x14ac:dyDescent="0.3">
      <c r="A8" s="208" t="s">
        <v>411</v>
      </c>
      <c r="B8" s="173">
        <v>200</v>
      </c>
    </row>
    <row r="9" spans="1:2" ht="18" customHeight="1" x14ac:dyDescent="0.3">
      <c r="A9" s="208" t="s">
        <v>417</v>
      </c>
      <c r="B9" s="173">
        <v>200</v>
      </c>
    </row>
    <row r="10" spans="1:2" ht="18" customHeight="1" x14ac:dyDescent="0.3">
      <c r="A10" s="208" t="s">
        <v>445</v>
      </c>
      <c r="B10" s="173">
        <v>200</v>
      </c>
    </row>
    <row r="11" spans="1:2" ht="18" customHeight="1" x14ac:dyDescent="0.3">
      <c r="A11" s="208" t="s">
        <v>88</v>
      </c>
      <c r="B11" s="173">
        <v>200</v>
      </c>
    </row>
    <row r="12" spans="1:2" ht="18" customHeight="1" x14ac:dyDescent="0.3">
      <c r="A12" s="208" t="s">
        <v>446</v>
      </c>
      <c r="B12" s="173">
        <v>200</v>
      </c>
    </row>
    <row r="13" spans="1:2" ht="18" customHeight="1" x14ac:dyDescent="0.3">
      <c r="A13" s="208" t="s">
        <v>442</v>
      </c>
      <c r="B13" s="173">
        <v>200</v>
      </c>
    </row>
    <row r="14" spans="1:2" ht="18" customHeight="1" x14ac:dyDescent="0.3">
      <c r="A14" s="208" t="s">
        <v>101</v>
      </c>
      <c r="B14" s="173">
        <v>404</v>
      </c>
    </row>
    <row r="15" spans="1:2" ht="18" customHeight="1" x14ac:dyDescent="0.3">
      <c r="A15" s="208" t="s">
        <v>107</v>
      </c>
      <c r="B15" s="173">
        <v>404</v>
      </c>
    </row>
    <row r="16" spans="1:2" ht="18" customHeight="1" x14ac:dyDescent="0.3">
      <c r="A16" s="208" t="s">
        <v>447</v>
      </c>
      <c r="B16" s="173">
        <v>404</v>
      </c>
    </row>
    <row r="17" spans="1:2" ht="18" customHeight="1" x14ac:dyDescent="0.3">
      <c r="A17" s="208" t="s">
        <v>91</v>
      </c>
      <c r="B17" s="173">
        <v>404</v>
      </c>
    </row>
    <row r="18" spans="1:2" ht="18" customHeight="1" x14ac:dyDescent="0.3">
      <c r="A18" s="208" t="s">
        <v>448</v>
      </c>
      <c r="B18" s="173">
        <v>200</v>
      </c>
    </row>
    <row r="19" spans="1:2" ht="18" customHeight="1" x14ac:dyDescent="0.3">
      <c r="A19" s="208" t="s">
        <v>449</v>
      </c>
      <c r="B19" s="173">
        <v>200</v>
      </c>
    </row>
    <row r="20" spans="1:2" ht="18" customHeight="1" x14ac:dyDescent="0.3">
      <c r="A20" s="208" t="s">
        <v>450</v>
      </c>
      <c r="B20" s="173">
        <v>200</v>
      </c>
    </row>
    <row r="21" spans="1:2" ht="18" customHeight="1" x14ac:dyDescent="0.3">
      <c r="A21" s="208" t="s">
        <v>451</v>
      </c>
      <c r="B21" s="173">
        <v>200</v>
      </c>
    </row>
    <row r="22" spans="1:2" ht="18" customHeight="1" x14ac:dyDescent="0.3">
      <c r="A22" s="208" t="s">
        <v>452</v>
      </c>
      <c r="B22" s="173">
        <v>200</v>
      </c>
    </row>
    <row r="23" spans="1:2" ht="18" customHeight="1" x14ac:dyDescent="0.3">
      <c r="A23" s="208" t="s">
        <v>453</v>
      </c>
      <c r="B23" s="173">
        <v>200</v>
      </c>
    </row>
    <row r="24" spans="1:2" ht="18" customHeight="1" x14ac:dyDescent="0.3">
      <c r="A24" s="208" t="s">
        <v>454</v>
      </c>
      <c r="B24" s="173">
        <v>200</v>
      </c>
    </row>
    <row r="25" spans="1:2" ht="18" customHeight="1" x14ac:dyDescent="0.3">
      <c r="A25" s="208" t="s">
        <v>455</v>
      </c>
      <c r="B25" s="173">
        <v>200</v>
      </c>
    </row>
    <row r="26" spans="1:2" ht="18" customHeight="1" x14ac:dyDescent="0.3">
      <c r="A26" s="208" t="s">
        <v>456</v>
      </c>
      <c r="B26" s="173">
        <v>200</v>
      </c>
    </row>
    <row r="27" spans="1:2" ht="18" customHeight="1" thickBot="1" x14ac:dyDescent="0.35">
      <c r="A27" s="209" t="s">
        <v>457</v>
      </c>
      <c r="B27" s="160">
        <v>200</v>
      </c>
    </row>
  </sheetData>
  <hyperlinks>
    <hyperlink ref="A2" r:id="rId1" xr:uid="{5C86AD14-8E7A-409C-ADBC-5C1ED1DD812A}"/>
    <hyperlink ref="A3" r:id="rId2" xr:uid="{1B30E7C4-B28A-462D-B559-B14DE98676F6}"/>
    <hyperlink ref="A21" r:id="rId3" xr:uid="{33CC1998-CEEC-4483-A07F-3A8EA0B1BA27}"/>
    <hyperlink ref="A22" r:id="rId4" xr:uid="{85DFB52B-6AD5-4D22-9DFE-76EF7E3B57E1}"/>
    <hyperlink ref="A23" r:id="rId5" xr:uid="{5FD7C62B-908D-4C2A-8D7A-ACAC7520F0F3}"/>
    <hyperlink ref="A24" r:id="rId6" xr:uid="{ED41820A-5F1D-49A2-B51B-4E85694BE738}"/>
    <hyperlink ref="A25" r:id="rId7" xr:uid="{ECBF6095-4BAE-4971-AF4C-A34C6DCE29B2}"/>
    <hyperlink ref="A26" r:id="rId8" xr:uid="{6B9145AF-FF09-4153-BB85-3C01A62454DF}"/>
    <hyperlink ref="A27" r:id="rId9" xr:uid="{C00DD51E-7785-4DB6-BE6D-61FB741025A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Tactic Codes</vt:lpstr>
      <vt:lpstr>RSAs-Google</vt:lpstr>
      <vt:lpstr>RSAs - Bing</vt:lpstr>
      <vt:lpstr>ATP - RSAs</vt:lpstr>
      <vt:lpstr>Keywords - Google</vt:lpstr>
      <vt:lpstr>Keywords - Bing</vt:lpstr>
      <vt:lpstr>ATP - Keywords</vt:lpstr>
      <vt:lpstr>Sitelinks - Google</vt:lpstr>
      <vt:lpstr>Sitelinks - Bing</vt:lpstr>
      <vt:lpstr>Callouts - Google</vt:lpstr>
      <vt:lpstr>Callouts - Bing</vt:lpstr>
      <vt:lpstr>Snippets - Google</vt:lpstr>
      <vt:lpstr>Structured Snippets - Bing</vt:lpstr>
      <vt:lpstr>Action Extensions - Bing</vt:lpstr>
      <vt:lpstr>ATP - Ad Extensions</vt:lpstr>
      <vt:lpstr>URLs</vt:lpstr>
      <vt:lpstr>Landing Pages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Sartori (he/him)</dc:creator>
  <cp:lastModifiedBy>Shubham Puri</cp:lastModifiedBy>
  <dcterms:created xsi:type="dcterms:W3CDTF">2024-07-26T18:19:47Z</dcterms:created>
  <dcterms:modified xsi:type="dcterms:W3CDTF">2024-08-23T15:26:46Z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0x01010090A0C5CB3A8E94498CE1E4EE60329F49</vt:lpwstr>
  </property>
</Properties>
</file>